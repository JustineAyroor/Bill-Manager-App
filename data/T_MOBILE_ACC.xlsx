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eayroor/Downloads/T MOB/"/>
    </mc:Choice>
  </mc:AlternateContent>
  <xr:revisionPtr revIDLastSave="0" documentId="13_ncr:1_{1600808B-D90D-E74A-AB21-DBF236081BF1}" xr6:coauthVersionLast="47" xr6:coauthVersionMax="47" xr10:uidLastSave="{00000000-0000-0000-0000-000000000000}"/>
  <bookViews>
    <workbookView xWindow="780" yWindow="620" windowWidth="27640" windowHeight="15940" xr2:uid="{1F842EFF-E005-E64B-9BF1-E29A85462CE5}"/>
  </bookViews>
  <sheets>
    <sheet name="Sheet1" sheetId="1" r:id="rId1"/>
    <sheet name="Sheet2" sheetId="2" r:id="rId2"/>
  </sheets>
  <definedNames>
    <definedName name="_xlnm._FilterDatabase" localSheetId="0" hidden="1">Sheet1!$A$1:$D$66</definedName>
    <definedName name="_xlnm._FilterDatabase" localSheetId="1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1" l="1"/>
  <c r="M94" i="1"/>
  <c r="H71" i="1"/>
  <c r="K93" i="1"/>
  <c r="O93" i="1"/>
  <c r="L93" i="1"/>
  <c r="M93" i="1"/>
  <c r="O94" i="1"/>
  <c r="D65" i="1"/>
  <c r="K2" i="1"/>
  <c r="O2" i="1"/>
  <c r="O6" i="1"/>
  <c r="L2" i="1"/>
  <c r="L6" i="1"/>
  <c r="K3" i="1"/>
  <c r="K4" i="1"/>
  <c r="K6" i="1"/>
  <c r="K7" i="1"/>
  <c r="K8" i="1"/>
  <c r="J2" i="1"/>
  <c r="J3" i="1"/>
  <c r="J4" i="1"/>
  <c r="J5" i="1"/>
  <c r="J6" i="1"/>
  <c r="J7" i="1"/>
  <c r="J8" i="1"/>
  <c r="I2" i="1"/>
  <c r="I3" i="1"/>
  <c r="I4" i="1"/>
  <c r="I5" i="1"/>
  <c r="I6" i="1"/>
  <c r="I7" i="1"/>
  <c r="I8" i="1"/>
  <c r="O9" i="1"/>
  <c r="O11" i="1"/>
  <c r="O13" i="1"/>
  <c r="O17" i="1"/>
  <c r="L13" i="1"/>
  <c r="D64" i="1"/>
  <c r="L9" i="1"/>
  <c r="L11" i="1"/>
  <c r="L17" i="1"/>
  <c r="K9" i="1"/>
  <c r="K11" i="1"/>
  <c r="K13" i="1"/>
  <c r="K17" i="1"/>
  <c r="J9" i="1"/>
  <c r="J11" i="1"/>
  <c r="J13" i="1"/>
  <c r="J17" i="1"/>
  <c r="I9" i="1"/>
  <c r="I11" i="1"/>
  <c r="I13" i="1"/>
  <c r="I17" i="1"/>
  <c r="I20" i="1"/>
  <c r="J20" i="1"/>
  <c r="K20" i="1"/>
  <c r="L20" i="1"/>
  <c r="O20" i="1"/>
  <c r="I21" i="1"/>
  <c r="J21" i="1"/>
  <c r="K21" i="1"/>
  <c r="L21" i="1"/>
  <c r="O21" i="1"/>
  <c r="I22" i="1"/>
  <c r="J22" i="1"/>
  <c r="K22" i="1"/>
  <c r="I23" i="1"/>
  <c r="J23" i="1"/>
  <c r="K23" i="1"/>
  <c r="I24" i="1"/>
  <c r="J24" i="1"/>
  <c r="K24" i="1"/>
  <c r="L24" i="1"/>
  <c r="O24" i="1"/>
  <c r="O26" i="1"/>
  <c r="L26" i="1"/>
  <c r="K25" i="1"/>
  <c r="K26" i="1"/>
  <c r="K27" i="1"/>
  <c r="K28" i="1"/>
  <c r="J25" i="1"/>
  <c r="J26" i="1"/>
  <c r="J27" i="1"/>
  <c r="J28" i="1"/>
  <c r="J29" i="1"/>
  <c r="I25" i="1"/>
  <c r="I26" i="1"/>
  <c r="I27" i="1"/>
  <c r="I28" i="1"/>
  <c r="I29" i="1"/>
  <c r="O30" i="1"/>
  <c r="L30" i="1"/>
  <c r="K30" i="1"/>
  <c r="J30" i="1"/>
  <c r="I30" i="1"/>
  <c r="J31" i="1"/>
  <c r="J32" i="1"/>
  <c r="L33" i="1"/>
  <c r="J33" i="1"/>
  <c r="I33" i="1"/>
  <c r="N34" i="1"/>
  <c r="N35" i="1"/>
  <c r="M35" i="1"/>
  <c r="I34" i="1"/>
  <c r="I35" i="1"/>
  <c r="M34" i="1"/>
  <c r="J34" i="1"/>
  <c r="K34" i="1"/>
  <c r="L34" i="1"/>
  <c r="L35" i="1"/>
  <c r="J35" i="1"/>
  <c r="K35" i="1"/>
  <c r="H35" i="1"/>
  <c r="H34" i="1"/>
  <c r="I36" i="1"/>
  <c r="N36" i="1"/>
  <c r="P78" i="1"/>
  <c r="P93" i="1" s="1"/>
  <c r="N78" i="1"/>
  <c r="N93" i="1" s="1"/>
  <c r="L36" i="1"/>
  <c r="M36" i="1"/>
  <c r="H36" i="1"/>
  <c r="C30" i="2"/>
  <c r="M38" i="1"/>
  <c r="M42" i="1"/>
  <c r="G74" i="1"/>
  <c r="G73" i="1"/>
  <c r="G71" i="1"/>
  <c r="G70" i="1"/>
  <c r="G69" i="1"/>
  <c r="G68" i="1"/>
  <c r="G67" i="1"/>
  <c r="N41" i="1"/>
  <c r="M41" i="1"/>
  <c r="N40" i="1"/>
  <c r="K54" i="1"/>
  <c r="K51" i="1"/>
  <c r="J46" i="1"/>
  <c r="E54" i="1"/>
  <c r="M49" i="1"/>
  <c r="M46" i="1"/>
  <c r="M45" i="1"/>
  <c r="M40" i="1"/>
  <c r="M39" i="1"/>
  <c r="E45" i="1"/>
  <c r="E46" i="1"/>
  <c r="E51" i="1"/>
  <c r="E57" i="1"/>
  <c r="E60" i="1"/>
  <c r="E62" i="1"/>
  <c r="E40" i="1"/>
  <c r="E41" i="1"/>
  <c r="E39" i="1"/>
  <c r="Q39" i="1" s="1"/>
  <c r="Q64" i="1" s="1"/>
  <c r="N45" i="1"/>
  <c r="M43" i="1"/>
  <c r="M44" i="1"/>
  <c r="N43" i="1"/>
  <c r="N44" i="1"/>
  <c r="N42" i="1"/>
  <c r="N46" i="1"/>
  <c r="N39" i="1"/>
  <c r="I62" i="1"/>
  <c r="J62" i="1"/>
  <c r="K62" i="1"/>
  <c r="L62" i="1"/>
  <c r="L39" i="1"/>
  <c r="L63" i="1"/>
  <c r="J61" i="1"/>
  <c r="L59" i="1"/>
  <c r="K58" i="1"/>
  <c r="L56" i="1"/>
  <c r="J55" i="1"/>
  <c r="J53" i="1"/>
  <c r="L52" i="1"/>
  <c r="K50" i="1"/>
  <c r="L48" i="1"/>
  <c r="J47" i="1"/>
  <c r="K44" i="1"/>
  <c r="J43" i="1"/>
  <c r="L42" i="1"/>
  <c r="I39" i="1"/>
  <c r="K39" i="1"/>
  <c r="J39" i="1"/>
  <c r="L40" i="1"/>
  <c r="K40" i="1"/>
  <c r="J40" i="1"/>
  <c r="I40" i="1"/>
  <c r="L41" i="1"/>
  <c r="K41" i="1"/>
  <c r="J41" i="1"/>
  <c r="I41" i="1"/>
  <c r="L45" i="1"/>
  <c r="K45" i="1"/>
  <c r="J45" i="1"/>
  <c r="I45" i="1"/>
  <c r="L46" i="1"/>
  <c r="K46" i="1"/>
  <c r="I46" i="1"/>
  <c r="L51" i="1"/>
  <c r="I51" i="1"/>
  <c r="J51" i="1"/>
  <c r="J57" i="1"/>
  <c r="K57" i="1"/>
  <c r="L57" i="1"/>
  <c r="I57" i="1"/>
  <c r="L60" i="1"/>
  <c r="K60" i="1"/>
  <c r="J60" i="1"/>
  <c r="I60" i="1"/>
  <c r="K94" i="1" l="1"/>
  <c r="L64" i="1"/>
  <c r="P94" i="1"/>
  <c r="M95" i="1"/>
  <c r="P95" i="1"/>
  <c r="K95" i="1"/>
  <c r="D68" i="1"/>
  <c r="J64" i="1"/>
  <c r="H68" i="1" s="1"/>
  <c r="M64" i="1"/>
  <c r="E64" i="1"/>
  <c r="N64" i="1"/>
  <c r="H73" i="1" s="1"/>
  <c r="K64" i="1"/>
  <c r="H69" i="1" s="1"/>
  <c r="O64" i="1"/>
  <c r="H72" i="1" s="1"/>
  <c r="I64" i="1"/>
  <c r="H67" i="1" s="1"/>
  <c r="L94" i="1"/>
  <c r="L95" i="1" s="1"/>
  <c r="O95" i="1"/>
  <c r="N95" i="1"/>
  <c r="P51" i="1"/>
  <c r="P54" i="1"/>
  <c r="P62" i="1"/>
  <c r="P45" i="1"/>
  <c r="P60" i="1"/>
  <c r="P46" i="1"/>
  <c r="P40" i="1"/>
  <c r="P41" i="1"/>
  <c r="P39" i="1"/>
  <c r="P64" i="1" l="1"/>
  <c r="D66" i="1"/>
  <c r="D67" i="1" s="1"/>
  <c r="H70" i="1"/>
  <c r="H74" i="1" l="1"/>
  <c r="H75" i="1" s="1"/>
</calcChain>
</file>

<file path=xl/sharedStrings.xml><?xml version="1.0" encoding="utf-8"?>
<sst xmlns="http://schemas.openxmlformats.org/spreadsheetml/2006/main" count="221" uniqueCount="101">
  <si>
    <t>Date</t>
  </si>
  <si>
    <t>Currency</t>
  </si>
  <si>
    <t>Description</t>
  </si>
  <si>
    <t>Amount</t>
  </si>
  <si>
    <t>USD</t>
  </si>
  <si>
    <t>TMOBILE AU BELLEVUE /WA US CARD PURCHASE</t>
  </si>
  <si>
    <t>Zelle Transfer from ROSEVINA GONSALVES 877-726-5640-423600E0M6G1</t>
  </si>
  <si>
    <t>Zelle Transfer from VINAY SANTOSHRA 877-726-5640-422700D0K7S9</t>
  </si>
  <si>
    <t>Zelle Transfer from ZUBIN PITHAWALL 877-726-5640-422700L0MELZ</t>
  </si>
  <si>
    <t>Zelle Transfer from VINAY SANTOSHRA 877-726-5640-418700K07I2M</t>
  </si>
  <si>
    <t>Zelle Transfer from ROSEVINA GONSALVES 877-726-5640-417400E0191U</t>
  </si>
  <si>
    <t>Zelle Transfer from ZUBIN PITHAWALL 877-726-5640-417600L0M1K9</t>
  </si>
  <si>
    <t>Zelle Transfer from ZUBIN PITHAWALL 877-726-5640-417400J06N3U</t>
  </si>
  <si>
    <t>Zelle Transfer from ROSEVINA GONSALVES 877-726-5640-415700B0KXRT</t>
  </si>
  <si>
    <t>Zelle Transfer from VINAY SANTOSHRA 877-726-5640-414800H0JI13</t>
  </si>
  <si>
    <t>Zelle Transfer from VINAY SANTOSHRA 877-726-5640-411300O07FVW</t>
  </si>
  <si>
    <t>Zelle Transfer from ROSEVINA GONSALVES 877-726-5640-411300O0793H</t>
  </si>
  <si>
    <t>Zelle Transfer from ZUBIN PITHAWALL 877-726-5640-408600F096MO</t>
  </si>
  <si>
    <t>Zelle Transfer from ROSEVINA GONSALVES 877-726-5640-407500C02O4D</t>
  </si>
  <si>
    <t>Zelle Transfer from VINAY SANTOSHRA 877-726-5640-405200A023SO</t>
  </si>
  <si>
    <t>Zelle Transfer from ROSEVINA GONSALVES 877-726-5640-404100M0J9B9</t>
  </si>
  <si>
    <t>Equipment Charges</t>
  </si>
  <si>
    <t>Monthly Charges</t>
  </si>
  <si>
    <t xml:space="preserve">Other Service Charges </t>
  </si>
  <si>
    <t>Vinay</t>
  </si>
  <si>
    <t>Zubin</t>
  </si>
  <si>
    <t>Rose</t>
  </si>
  <si>
    <t>Others</t>
  </si>
  <si>
    <t>Credits</t>
  </si>
  <si>
    <t>TOTAL AMOUNT OWED(Exclude Justine Bill Amt) :</t>
  </si>
  <si>
    <t xml:space="preserve">TOTAL PENDING BY OTHERS(Including Justine Bill Amt) : </t>
  </si>
  <si>
    <t>Roshan</t>
  </si>
  <si>
    <t>Prachi</t>
  </si>
  <si>
    <t>MEMBERS</t>
  </si>
  <si>
    <t>Justine</t>
  </si>
  <si>
    <t>AMT</t>
  </si>
  <si>
    <t>TOTAL</t>
  </si>
  <si>
    <t>DUE (TOTAL - Justine)</t>
  </si>
  <si>
    <t>T-Mobile Bill AMOUNT</t>
  </si>
  <si>
    <t>Num of ppl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</si>
  <si>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</si>
  <si>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</si>
  <si>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</si>
  <si>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</si>
  <si>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</si>
  <si>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</si>
  <si>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</si>
  <si>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</si>
  <si>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</si>
  <si>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</si>
  <si>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Due Total</t>
  </si>
  <si>
    <t>Recovered</t>
  </si>
  <si>
    <t>Final Due</t>
  </si>
  <si>
    <t>Month</t>
  </si>
  <si>
    <t>Zelle Transfer from VINAY SANTOSHRA 877-726-5640-433700A0EVIG </t>
  </si>
  <si>
    <t>Zelle Transfer from ZUBIN PITHAWALL 877-726-5640-433200E0EG5N </t>
  </si>
  <si>
    <t>Zelle Transfer from ROSEVINA GONSALVES 877-726-5640-423600E0M6G1 </t>
  </si>
  <si>
    <t>Zelle Transfer from VINAY SANTOSHRA 877-726-5640-422700D0K7S9 </t>
  </si>
  <si>
    <t>Zelle Transfer from ZUBIN PITHAWALL 877-726-5640-422700L0MELZ </t>
  </si>
  <si>
    <t>Zelle Transfer from VINAY SANTOSHRA 877-726-5640-418700K07I2M </t>
  </si>
  <si>
    <t>Zelle Transfer from ROSEVINA GONSALVES 877-726-5640-417400E0191U </t>
  </si>
  <si>
    <t>Zelle Transfer from ZUBIN PITHAWALL 877-726-5640-417600L0M1K9 </t>
  </si>
  <si>
    <t>Zelle Transfer from ZUBIN PITHAWALL 877-726-5640-417400J06N3U </t>
  </si>
  <si>
    <t>Zelle Transfer from ROSEVINA GONSALVES 877-726-5640-415700B0KXRT </t>
  </si>
  <si>
    <t>Zelle Transfer from VINAY SANTOSHRA 877-726-5640-414800H0JI13 </t>
  </si>
  <si>
    <t>Zelle Transfer from VINAY SANTOSHRA 877-726-5640-411300O07FVW </t>
  </si>
  <si>
    <t>Zelle Transfer from ROSEVINA GONSALVES 877-726-5640-411300O0793H </t>
  </si>
  <si>
    <t>Zelle Transfer from ZUBIN PITHAWALL 877-726-5640-408600F096MO </t>
  </si>
  <si>
    <t>Zelle Transfer from ROSEVINA GONSALVES 877-726-5640-407500C02O4D </t>
  </si>
  <si>
    <t>Zelle Transfer from VINAY SANTOSHRA 877-726-5640-405200A023SO </t>
  </si>
  <si>
    <t>Zelle Transfer from ROSEVINA GONSALVES 877-726-5640-404100M0J9B9 </t>
  </si>
  <si>
    <t>TMOBILE AU BELLEVUE /WA US CARD PURCHASE </t>
  </si>
  <si>
    <t>TOTAL TO BE PAID BY ROSE:</t>
  </si>
  <si>
    <t>Nov</t>
  </si>
  <si>
    <t>Dec</t>
  </si>
  <si>
    <t>Zelle Transfer from ROSEVINA GONSALVES 877-726-5640-507000O0HPP0</t>
  </si>
  <si>
    <t>Zelle Transfer from ZUBIN PITHAWALL 877-726-5640-505600P046U1</t>
  </si>
  <si>
    <t>Julian</t>
  </si>
  <si>
    <t>Zelle Transfer from ROSEVINA GONSALVES 877-726-5640-510100P04FZ0 </t>
  </si>
  <si>
    <t>Zelle Transfer from ZUBIN PITHAWALL 877-726-5640-510100J06RG4 </t>
  </si>
  <si>
    <t>Zelle Transfer from JULIAN AYROOR 877-726-5640-517900O0K6K7 </t>
  </si>
  <si>
    <t>Zelle Transfer from JULIAN AYROOR 877-726-5640-516400L052WS </t>
  </si>
  <si>
    <t>Zelle Transfer from JULIAN AYROOR 877-726-5640-514600C069TG </t>
  </si>
  <si>
    <t>Zelle Transfer from JULIAN AYROOR 877-726-5640-511700H006MQ </t>
  </si>
  <si>
    <t>Year</t>
  </si>
  <si>
    <t>Zelle Transfer from JULIAN AYROOR 877-726-5640-532200A04Q8V </t>
  </si>
  <si>
    <t>Zelle Transfer from JULIAN AYROOR 877-726-5640-529100F0KWX5 </t>
  </si>
  <si>
    <t>Zelle Transfer from ZUBIN PITHAWALL 877-726-5640-526600O097O4 </t>
  </si>
  <si>
    <t>Zelle Transfer from ZUBIN PITHAWALL 877-726-5640-526600P08FO3 </t>
  </si>
  <si>
    <t>Zelle Transfer from JULIAN AYROOR 877-726-5640-526100A005ZP </t>
  </si>
  <si>
    <t>Zelle Transfer from JULIAN AYROOR 877-726-5640-523000A0BT4M </t>
  </si>
  <si>
    <t>Zelle Transfer from ROSEVINA GONSALVES 877-726-5640-522800K02HBK </t>
  </si>
  <si>
    <t>Zelle Transfer from JULIAN AYROOR 877-726-5640-535200E05CTS </t>
  </si>
  <si>
    <t>YEAR END</t>
  </si>
  <si>
    <t>Zelle Transfer from ZUBIN PITHAWALL 877-726-5640-604000H0I7QN </t>
  </si>
  <si>
    <t>Zelle Transfer from JULIAN AYROOR 877-726-5640-601800B0FLJL </t>
  </si>
  <si>
    <t>Zelle Transfer from ZUBIN PITHAWALL 877-726-5640-601600N02ONM </t>
  </si>
  <si>
    <t>Zelle Transfer from ROSEVINA GONSALVES 877-726-5640-600100H03K7W </t>
  </si>
  <si>
    <t>TOTAL BILL RESOLVED (JAN/2024-JAN/2026) :</t>
  </si>
  <si>
    <t>TOTAL PAID TO T-MOBILE(JAN/24-AUG/26) :</t>
  </si>
  <si>
    <t>ACC TILL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</si>
</sst>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name val="Arial1"/>
    </font>
    <font>
      <b/>
      <sz val="10"/>
      <name val="Arial2"/>
    </font>
    <font>
      <sz val="12"/>
      <color theme="1"/>
      <name val="Aptos Narrow"/>
      <scheme val="minor"/>
    </font>
    <font>
      <sz val="12"/>
      <name val="Arial1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8" xfId="0" applyFont="1" applyBorder="1"/>
    <xf numFmtId="0" fontId="1" fillId="0" borderId="12" xfId="0" applyFont="1" applyBorder="1"/>
    <xf numFmtId="0" fontId="1" fillId="0" borderId="9" xfId="0" applyFont="1" applyBorder="1"/>
    <xf numFmtId="0" fontId="1" fillId="2" borderId="1" xfId="0" applyFont="1" applyFill="1" applyBorder="1"/>
    <xf numFmtId="0" fontId="1" fillId="2" borderId="9" xfId="0" applyFont="1" applyFill="1" applyBorder="1"/>
    <xf numFmtId="0" fontId="1" fillId="0" borderId="11" xfId="0" applyFont="1" applyBorder="1"/>
    <xf numFmtId="0" fontId="1" fillId="0" borderId="5" xfId="0" applyFont="1" applyBorder="1"/>
    <xf numFmtId="0" fontId="1" fillId="2" borderId="10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2" borderId="8" xfId="0" applyFont="1" applyFill="1" applyBorder="1"/>
    <xf numFmtId="0" fontId="1" fillId="2" borderId="12" xfId="0" applyFont="1" applyFill="1" applyBorder="1"/>
    <xf numFmtId="0" fontId="1" fillId="0" borderId="13" xfId="0" applyFont="1" applyBorder="1"/>
    <xf numFmtId="0" fontId="0" fillId="3" borderId="11" xfId="0" applyFill="1" applyBorder="1"/>
    <xf numFmtId="0" fontId="0" fillId="2" borderId="11" xfId="0" applyFill="1" applyBorder="1"/>
    <xf numFmtId="0" fontId="1" fillId="0" borderId="1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/>
    <xf numFmtId="0" fontId="4" fillId="0" borderId="0" xfId="1" applyFont="1" applyAlignment="1">
      <alignment horizontal="left"/>
    </xf>
    <xf numFmtId="14" fontId="3" fillId="0" borderId="0" xfId="1" applyNumberFormat="1" applyAlignment="1">
      <alignment horizontal="left"/>
    </xf>
    <xf numFmtId="0" fontId="3" fillId="0" borderId="0" xfId="1" applyAlignment="1">
      <alignment horizontal="left"/>
    </xf>
    <xf numFmtId="2" fontId="0" fillId="0" borderId="0" xfId="0" applyNumberFormat="1"/>
    <xf numFmtId="0" fontId="0" fillId="0" borderId="17" xfId="0" applyBorder="1"/>
    <xf numFmtId="0" fontId="1" fillId="0" borderId="22" xfId="0" applyFont="1" applyBorder="1"/>
    <xf numFmtId="0" fontId="0" fillId="0" borderId="23" xfId="0" applyBorder="1"/>
    <xf numFmtId="0" fontId="1" fillId="0" borderId="0" xfId="0" applyFont="1"/>
    <xf numFmtId="14" fontId="5" fillId="0" borderId="0" xfId="0" applyNumberFormat="1" applyFont="1"/>
    <xf numFmtId="14" fontId="6" fillId="0" borderId="0" xfId="1" applyNumberFormat="1" applyFont="1" applyAlignment="1"/>
    <xf numFmtId="0" fontId="6" fillId="0" borderId="0" xfId="1" applyFont="1" applyAlignment="1">
      <alignment horizontal="left"/>
    </xf>
    <xf numFmtId="0" fontId="6" fillId="0" borderId="0" xfId="1" applyFont="1" applyAlignment="1"/>
    <xf numFmtId="0" fontId="6" fillId="0" borderId="0" xfId="0" applyFont="1"/>
    <xf numFmtId="0" fontId="1" fillId="2" borderId="24" xfId="0" applyFont="1" applyFill="1" applyBorder="1"/>
    <xf numFmtId="0" fontId="1" fillId="0" borderId="2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25" xfId="0" applyBorder="1"/>
    <xf numFmtId="0" fontId="0" fillId="3" borderId="21" xfId="0" applyFill="1" applyBorder="1"/>
    <xf numFmtId="14" fontId="6" fillId="0" borderId="0" xfId="1" applyNumberFormat="1" applyFont="1" applyAlignment="1">
      <alignment horizontal="right"/>
    </xf>
    <xf numFmtId="0" fontId="6" fillId="0" borderId="0" xfId="1" applyFont="1" applyAlignment="1">
      <alignment horizontal="right"/>
    </xf>
    <xf numFmtId="0" fontId="5" fillId="0" borderId="0" xfId="0" applyFont="1"/>
    <xf numFmtId="14" fontId="6" fillId="0" borderId="0" xfId="1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0" fillId="2" borderId="0" xfId="0" applyFill="1"/>
    <xf numFmtId="0" fontId="1" fillId="0" borderId="26" xfId="0" applyFont="1" applyBorder="1"/>
    <xf numFmtId="0" fontId="0" fillId="0" borderId="28" xfId="0" applyBorder="1"/>
    <xf numFmtId="0" fontId="0" fillId="0" borderId="29" xfId="0" applyBorder="1"/>
    <xf numFmtId="0" fontId="0" fillId="3" borderId="0" xfId="0" applyFill="1"/>
    <xf numFmtId="0" fontId="0" fillId="3" borderId="5" xfId="0" applyFill="1" applyBorder="1"/>
    <xf numFmtId="0" fontId="0" fillId="2" borderId="10" xfId="0" applyFill="1" applyBorder="1"/>
    <xf numFmtId="0" fontId="0" fillId="2" borderId="24" xfId="0" applyFill="1" applyBorder="1"/>
    <xf numFmtId="0" fontId="0" fillId="2" borderId="7" xfId="0" applyFill="1" applyBorder="1"/>
    <xf numFmtId="0" fontId="1" fillId="0" borderId="0" xfId="0" applyFont="1" applyFill="1" applyBorder="1"/>
    <xf numFmtId="14" fontId="5" fillId="0" borderId="0" xfId="0" applyNumberFormat="1" applyFont="1" applyFill="1" applyBorder="1"/>
    <xf numFmtId="0" fontId="3" fillId="0" borderId="0" xfId="0" applyFont="1" applyAlignment="1">
      <alignment horizontal="left"/>
    </xf>
    <xf numFmtId="0" fontId="5" fillId="0" borderId="0" xfId="0" applyFont="1" applyFill="1" applyBorder="1"/>
    <xf numFmtId="0" fontId="0" fillId="3" borderId="24" xfId="0" applyFill="1" applyBorder="1"/>
    <xf numFmtId="0" fontId="1" fillId="0" borderId="1" xfId="0" applyFont="1" applyFill="1" applyBorder="1"/>
    <xf numFmtId="0" fontId="1" fillId="0" borderId="0" xfId="0" applyFont="1" applyFill="1"/>
  </cellXfs>
  <cellStyles count="2">
    <cellStyle name="Default" xfId="1" xr:uid="{A408CEBF-1B1C-6045-B830-52F9DB6D14A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8FC-3E65-C441-BF72-2B4BA1E66740}">
  <dimension ref="A1:S95"/>
  <sheetViews>
    <sheetView tabSelected="1" zoomScale="81" workbookViewId="0">
      <selection activeCell="C12" sqref="C12"/>
    </sheetView>
  </sheetViews>
  <sheetFormatPr baseColWidth="10" defaultRowHeight="16"/>
  <cols>
    <col min="2" max="2" width="6.83203125" customWidth="1"/>
    <col min="3" max="3" width="38" customWidth="1"/>
    <col min="5" max="5" width="20.1640625" bestFit="1" customWidth="1"/>
    <col min="7" max="7" width="18.33203125" bestFit="1" customWidth="1"/>
  </cols>
  <sheetData>
    <row r="1" spans="1:18" s="17" customFormat="1" ht="17" thickBo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38</v>
      </c>
      <c r="F1" s="17" t="s">
        <v>21</v>
      </c>
      <c r="G1" s="17" t="s">
        <v>22</v>
      </c>
      <c r="H1" s="17" t="s">
        <v>23</v>
      </c>
      <c r="I1" s="17" t="s">
        <v>34</v>
      </c>
      <c r="J1" s="17" t="s">
        <v>24</v>
      </c>
      <c r="K1" s="17" t="s">
        <v>25</v>
      </c>
      <c r="L1" s="17" t="s">
        <v>26</v>
      </c>
      <c r="M1" s="17" t="s">
        <v>31</v>
      </c>
      <c r="N1" s="17" t="s">
        <v>32</v>
      </c>
      <c r="O1" s="17" t="s">
        <v>77</v>
      </c>
      <c r="P1" s="17" t="s">
        <v>27</v>
      </c>
      <c r="Q1" s="17" t="s">
        <v>28</v>
      </c>
      <c r="R1" s="17" t="s">
        <v>39</v>
      </c>
    </row>
    <row r="2" spans="1:18" s="63" customFormat="1">
      <c r="A2" s="64">
        <v>46063</v>
      </c>
      <c r="B2" t="s">
        <v>4</v>
      </c>
      <c r="C2" s="66" t="s">
        <v>71</v>
      </c>
      <c r="D2" s="66">
        <v>-327.08999999999997</v>
      </c>
      <c r="E2" s="66">
        <v>327.08999999999997</v>
      </c>
      <c r="F2" s="66">
        <v>126.89</v>
      </c>
      <c r="G2" s="66">
        <v>180</v>
      </c>
      <c r="H2" s="66">
        <v>20.2</v>
      </c>
      <c r="I2">
        <f t="shared" ref="I2:I8" si="0">G2/R2+H2</f>
        <v>56.2</v>
      </c>
      <c r="J2">
        <f t="shared" ref="J2:J8" si="1">G2/R2</f>
        <v>36</v>
      </c>
      <c r="K2">
        <f>G2/R2+45.84</f>
        <v>81.84</v>
      </c>
      <c r="L2">
        <f t="shared" ref="L2:L6" si="2">G2/R2+39.38</f>
        <v>75.38</v>
      </c>
      <c r="M2" s="66">
        <v>0</v>
      </c>
      <c r="N2" s="66">
        <v>0</v>
      </c>
      <c r="O2">
        <f t="shared" ref="O2:O6" si="3">G2/R2+41.67</f>
        <v>77.67</v>
      </c>
      <c r="P2" s="66">
        <v>0</v>
      </c>
      <c r="Q2" s="66">
        <v>0</v>
      </c>
      <c r="R2" s="66">
        <v>5</v>
      </c>
    </row>
    <row r="3" spans="1:18" s="63" customFormat="1">
      <c r="A3" s="64">
        <v>46062</v>
      </c>
      <c r="B3" t="s">
        <v>4</v>
      </c>
      <c r="C3" s="66" t="s">
        <v>94</v>
      </c>
      <c r="D3" s="66">
        <v>200</v>
      </c>
      <c r="E3" s="66">
        <v>0</v>
      </c>
      <c r="F3" s="66">
        <v>0</v>
      </c>
      <c r="G3" s="66">
        <v>0</v>
      </c>
      <c r="H3" s="66">
        <v>0</v>
      </c>
      <c r="I3">
        <f t="shared" si="0"/>
        <v>0</v>
      </c>
      <c r="J3">
        <f t="shared" si="1"/>
        <v>0</v>
      </c>
      <c r="K3">
        <f t="shared" ref="K3:K8" si="4">G3/R3</f>
        <v>0</v>
      </c>
      <c r="L3">
        <v>0</v>
      </c>
      <c r="M3" s="66">
        <v>-200</v>
      </c>
      <c r="N3" s="66">
        <v>0</v>
      </c>
      <c r="O3">
        <v>0</v>
      </c>
      <c r="P3" s="66">
        <v>0</v>
      </c>
      <c r="Q3" s="66">
        <v>0</v>
      </c>
      <c r="R3" s="66">
        <v>5</v>
      </c>
    </row>
    <row r="4" spans="1:18" s="63" customFormat="1">
      <c r="A4" s="64">
        <v>46042</v>
      </c>
      <c r="B4" t="s">
        <v>4</v>
      </c>
      <c r="C4" s="66" t="s">
        <v>95</v>
      </c>
      <c r="D4" s="66">
        <v>80</v>
      </c>
      <c r="E4" s="66">
        <v>0</v>
      </c>
      <c r="F4" s="66">
        <v>0</v>
      </c>
      <c r="G4" s="66">
        <v>0</v>
      </c>
      <c r="H4" s="66">
        <v>0</v>
      </c>
      <c r="I4">
        <f t="shared" si="0"/>
        <v>0</v>
      </c>
      <c r="J4">
        <f t="shared" si="1"/>
        <v>0</v>
      </c>
      <c r="K4">
        <f t="shared" si="4"/>
        <v>0</v>
      </c>
      <c r="L4">
        <v>0</v>
      </c>
      <c r="M4" s="66">
        <v>0</v>
      </c>
      <c r="N4" s="66">
        <v>0</v>
      </c>
      <c r="O4">
        <v>-80</v>
      </c>
      <c r="P4" s="66">
        <v>0</v>
      </c>
      <c r="Q4" s="66">
        <v>0</v>
      </c>
      <c r="R4" s="66">
        <v>5</v>
      </c>
    </row>
    <row r="5" spans="1:18" s="63" customFormat="1">
      <c r="A5" s="64">
        <v>46038</v>
      </c>
      <c r="B5" t="s">
        <v>4</v>
      </c>
      <c r="C5" s="66" t="s">
        <v>96</v>
      </c>
      <c r="D5" s="66">
        <v>500</v>
      </c>
      <c r="E5" s="66">
        <v>0</v>
      </c>
      <c r="F5" s="66">
        <v>0</v>
      </c>
      <c r="G5" s="66">
        <v>0</v>
      </c>
      <c r="H5" s="66">
        <v>0</v>
      </c>
      <c r="I5">
        <f t="shared" si="0"/>
        <v>0</v>
      </c>
      <c r="J5">
        <f t="shared" si="1"/>
        <v>0</v>
      </c>
      <c r="K5">
        <v>-500</v>
      </c>
      <c r="L5">
        <v>0</v>
      </c>
      <c r="M5" s="66">
        <v>0</v>
      </c>
      <c r="N5" s="66">
        <v>0</v>
      </c>
      <c r="O5">
        <v>0</v>
      </c>
      <c r="P5" s="66">
        <v>0</v>
      </c>
      <c r="Q5" s="66">
        <v>0</v>
      </c>
      <c r="R5" s="66">
        <v>5</v>
      </c>
    </row>
    <row r="6" spans="1:18" s="63" customFormat="1">
      <c r="A6" s="64">
        <v>46034</v>
      </c>
      <c r="B6" t="s">
        <v>4</v>
      </c>
      <c r="C6" s="66" t="s">
        <v>71</v>
      </c>
      <c r="D6" s="66">
        <v>-281.25</v>
      </c>
      <c r="E6" s="66">
        <v>281.25</v>
      </c>
      <c r="F6" s="66">
        <v>81.05</v>
      </c>
      <c r="G6" s="66">
        <v>180</v>
      </c>
      <c r="H6" s="66">
        <v>20.2</v>
      </c>
      <c r="I6">
        <f t="shared" si="0"/>
        <v>56.2</v>
      </c>
      <c r="J6">
        <f t="shared" si="1"/>
        <v>36</v>
      </c>
      <c r="K6">
        <f t="shared" si="4"/>
        <v>36</v>
      </c>
      <c r="L6">
        <f t="shared" si="2"/>
        <v>75.38</v>
      </c>
      <c r="M6" s="66">
        <v>0</v>
      </c>
      <c r="N6" s="66">
        <v>0</v>
      </c>
      <c r="O6">
        <f t="shared" si="3"/>
        <v>77.67</v>
      </c>
      <c r="P6" s="66">
        <v>0</v>
      </c>
      <c r="Q6" s="66">
        <v>0</v>
      </c>
      <c r="R6" s="66">
        <v>5</v>
      </c>
    </row>
    <row r="7" spans="1:18" s="63" customFormat="1">
      <c r="A7" s="64">
        <v>46024</v>
      </c>
      <c r="B7" t="s">
        <v>4</v>
      </c>
      <c r="C7" s="65" t="s">
        <v>97</v>
      </c>
      <c r="D7" s="66">
        <v>377.77</v>
      </c>
      <c r="E7" s="66">
        <v>0</v>
      </c>
      <c r="F7" s="66">
        <v>0</v>
      </c>
      <c r="G7" s="66">
        <v>0</v>
      </c>
      <c r="H7" s="66">
        <v>0</v>
      </c>
      <c r="I7">
        <f t="shared" si="0"/>
        <v>0</v>
      </c>
      <c r="J7">
        <f t="shared" si="1"/>
        <v>0</v>
      </c>
      <c r="K7">
        <f t="shared" si="4"/>
        <v>0</v>
      </c>
      <c r="L7">
        <v>-377.77</v>
      </c>
      <c r="M7" s="66">
        <v>0</v>
      </c>
      <c r="N7" s="66">
        <v>0</v>
      </c>
      <c r="O7">
        <v>0</v>
      </c>
      <c r="P7" s="66">
        <v>0</v>
      </c>
      <c r="Q7" s="66">
        <v>0</v>
      </c>
      <c r="R7" s="66">
        <v>5</v>
      </c>
    </row>
    <row r="8" spans="1:18" s="35" customFormat="1">
      <c r="A8" s="50">
        <v>46009</v>
      </c>
      <c r="B8" t="s">
        <v>4</v>
      </c>
      <c r="C8" s="38" t="s">
        <v>92</v>
      </c>
      <c r="D8" s="49">
        <v>80</v>
      </c>
      <c r="E8" s="49">
        <v>0</v>
      </c>
      <c r="F8" s="49">
        <v>0</v>
      </c>
      <c r="G8" s="49">
        <v>0</v>
      </c>
      <c r="H8" s="49">
        <v>0</v>
      </c>
      <c r="I8">
        <f t="shared" si="0"/>
        <v>0</v>
      </c>
      <c r="J8">
        <f t="shared" si="1"/>
        <v>0</v>
      </c>
      <c r="K8">
        <f t="shared" si="4"/>
        <v>0</v>
      </c>
      <c r="L8">
        <v>0</v>
      </c>
      <c r="M8" s="49">
        <v>0</v>
      </c>
      <c r="N8" s="49">
        <v>0</v>
      </c>
      <c r="O8">
        <v>-80</v>
      </c>
      <c r="P8" s="49">
        <v>0</v>
      </c>
      <c r="Q8" s="49">
        <v>0</v>
      </c>
      <c r="R8" s="49">
        <v>5</v>
      </c>
    </row>
    <row r="9" spans="1:18" s="35" customFormat="1">
      <c r="A9" s="47">
        <v>46001</v>
      </c>
      <c r="B9" t="s">
        <v>4</v>
      </c>
      <c r="C9" s="38" t="s">
        <v>71</v>
      </c>
      <c r="D9" s="48">
        <v>-281.25</v>
      </c>
      <c r="E9" s="48">
        <v>281.25</v>
      </c>
      <c r="F9">
        <v>81.05</v>
      </c>
      <c r="G9">
        <v>180</v>
      </c>
      <c r="H9">
        <v>20.2</v>
      </c>
      <c r="I9">
        <f t="shared" ref="I9:I17" si="5">G9/R9+H9</f>
        <v>56.2</v>
      </c>
      <c r="J9">
        <f t="shared" ref="J9:J17" si="6">G9/R9</f>
        <v>36</v>
      </c>
      <c r="K9">
        <f t="shared" ref="K9:K17" si="7">G9/R9</f>
        <v>36</v>
      </c>
      <c r="L9">
        <f t="shared" ref="L9:L17" si="8">G9/R9+39.38</f>
        <v>75.38</v>
      </c>
      <c r="M9" s="49">
        <v>0</v>
      </c>
      <c r="N9">
        <v>0</v>
      </c>
      <c r="O9">
        <f t="shared" ref="O9:O17" si="9">G9/R9+41.67</f>
        <v>77.67</v>
      </c>
      <c r="P9" s="49">
        <v>0</v>
      </c>
      <c r="Q9" s="49">
        <v>0</v>
      </c>
      <c r="R9">
        <v>5</v>
      </c>
    </row>
    <row r="10" spans="1:18" s="35" customFormat="1">
      <c r="A10" s="47">
        <v>45979</v>
      </c>
      <c r="B10" t="s">
        <v>4</v>
      </c>
      <c r="C10" s="38" t="s">
        <v>85</v>
      </c>
      <c r="D10" s="48">
        <v>80</v>
      </c>
      <c r="E10" s="49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49">
        <v>0</v>
      </c>
      <c r="N10" s="49">
        <v>0</v>
      </c>
      <c r="O10" s="48">
        <v>-80</v>
      </c>
      <c r="P10" s="49">
        <v>0</v>
      </c>
      <c r="Q10" s="49">
        <v>0</v>
      </c>
      <c r="R10">
        <v>5</v>
      </c>
    </row>
    <row r="11" spans="1:18" s="35" customFormat="1">
      <c r="A11" s="47">
        <v>45971</v>
      </c>
      <c r="B11" t="s">
        <v>4</v>
      </c>
      <c r="C11" s="38" t="s">
        <v>71</v>
      </c>
      <c r="D11" s="48">
        <v>-343.73</v>
      </c>
      <c r="E11" s="48">
        <v>343.73</v>
      </c>
      <c r="F11">
        <v>143.55000000000001</v>
      </c>
      <c r="G11">
        <v>180</v>
      </c>
      <c r="H11">
        <v>20.2</v>
      </c>
      <c r="I11">
        <f t="shared" si="5"/>
        <v>56.2</v>
      </c>
      <c r="J11">
        <f t="shared" si="6"/>
        <v>36</v>
      </c>
      <c r="K11">
        <f t="shared" si="7"/>
        <v>36</v>
      </c>
      <c r="L11">
        <f t="shared" si="8"/>
        <v>75.38</v>
      </c>
      <c r="M11" s="49">
        <v>50</v>
      </c>
      <c r="N11">
        <v>12.5</v>
      </c>
      <c r="O11">
        <f t="shared" si="9"/>
        <v>77.67</v>
      </c>
      <c r="P11" s="49">
        <v>0</v>
      </c>
      <c r="Q11" s="49">
        <v>0</v>
      </c>
      <c r="R11">
        <v>5</v>
      </c>
    </row>
    <row r="12" spans="1:18" s="35" customFormat="1">
      <c r="A12" s="47">
        <v>45950</v>
      </c>
      <c r="B12" t="s">
        <v>4</v>
      </c>
      <c r="C12" s="38" t="s">
        <v>86</v>
      </c>
      <c r="D12" s="48">
        <v>80</v>
      </c>
      <c r="E12" s="49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49">
        <v>0</v>
      </c>
      <c r="N12" s="49">
        <v>0</v>
      </c>
      <c r="O12" s="48">
        <v>-80</v>
      </c>
      <c r="P12" s="49">
        <v>0</v>
      </c>
      <c r="Q12" s="49">
        <v>0</v>
      </c>
      <c r="R12">
        <v>5</v>
      </c>
    </row>
    <row r="13" spans="1:18" s="35" customFormat="1">
      <c r="A13" s="47">
        <v>45940</v>
      </c>
      <c r="B13" t="s">
        <v>4</v>
      </c>
      <c r="C13" s="38" t="s">
        <v>71</v>
      </c>
      <c r="D13" s="48">
        <v>-344.31</v>
      </c>
      <c r="E13" s="48">
        <v>344.31</v>
      </c>
      <c r="F13">
        <v>143.55000000000001</v>
      </c>
      <c r="G13">
        <v>180</v>
      </c>
      <c r="H13">
        <v>20.2</v>
      </c>
      <c r="I13">
        <f t="shared" si="5"/>
        <v>56.2</v>
      </c>
      <c r="J13">
        <f t="shared" si="6"/>
        <v>36</v>
      </c>
      <c r="K13">
        <f t="shared" si="7"/>
        <v>36</v>
      </c>
      <c r="L13">
        <f>G13/R13+39.38+0.56</f>
        <v>75.94</v>
      </c>
      <c r="M13" s="49">
        <v>50</v>
      </c>
      <c r="N13">
        <v>12.5</v>
      </c>
      <c r="O13">
        <f t="shared" si="9"/>
        <v>77.67</v>
      </c>
      <c r="P13" s="49">
        <v>0</v>
      </c>
      <c r="Q13" s="49">
        <v>0</v>
      </c>
      <c r="R13">
        <v>5</v>
      </c>
    </row>
    <row r="14" spans="1:18" s="35" customFormat="1">
      <c r="A14" s="47">
        <v>45923</v>
      </c>
      <c r="B14" t="s">
        <v>4</v>
      </c>
      <c r="C14" s="38" t="s">
        <v>87</v>
      </c>
      <c r="D14" s="48">
        <v>10.75</v>
      </c>
      <c r="E14" s="49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-10.75</v>
      </c>
      <c r="L14">
        <v>0</v>
      </c>
      <c r="M14" s="49">
        <v>0</v>
      </c>
      <c r="N14" s="49">
        <v>0</v>
      </c>
      <c r="O14" s="48">
        <v>0</v>
      </c>
      <c r="P14" s="49">
        <v>0</v>
      </c>
      <c r="Q14" s="49">
        <v>0</v>
      </c>
      <c r="R14">
        <v>5</v>
      </c>
    </row>
    <row r="15" spans="1:18" s="35" customFormat="1">
      <c r="A15" s="47">
        <v>45923</v>
      </c>
      <c r="B15" t="s">
        <v>4</v>
      </c>
      <c r="C15" s="38" t="s">
        <v>88</v>
      </c>
      <c r="D15" s="48">
        <v>451</v>
      </c>
      <c r="E15" s="49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51">
        <v>-451</v>
      </c>
      <c r="N15" s="49">
        <v>0</v>
      </c>
      <c r="O15" s="48">
        <v>0</v>
      </c>
      <c r="P15" s="49">
        <v>0</v>
      </c>
      <c r="Q15" s="49">
        <v>0</v>
      </c>
      <c r="R15">
        <v>5</v>
      </c>
    </row>
    <row r="16" spans="1:18" s="35" customFormat="1">
      <c r="A16" s="47">
        <v>45918</v>
      </c>
      <c r="B16" t="s">
        <v>4</v>
      </c>
      <c r="C16" s="38" t="s">
        <v>89</v>
      </c>
      <c r="D16" s="48">
        <v>80</v>
      </c>
      <c r="E16" s="49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49">
        <v>0</v>
      </c>
      <c r="N16" s="49">
        <v>0</v>
      </c>
      <c r="O16" s="48">
        <v>-80</v>
      </c>
      <c r="P16" s="49">
        <v>0</v>
      </c>
      <c r="Q16" s="49">
        <v>0</v>
      </c>
      <c r="R16">
        <v>5</v>
      </c>
    </row>
    <row r="17" spans="1:19" s="35" customFormat="1">
      <c r="A17" s="47">
        <v>45910</v>
      </c>
      <c r="B17" t="s">
        <v>4</v>
      </c>
      <c r="C17" s="38" t="s">
        <v>71</v>
      </c>
      <c r="D17" s="48">
        <v>-343.75</v>
      </c>
      <c r="E17" s="48">
        <v>343.75</v>
      </c>
      <c r="F17">
        <v>143.55000000000001</v>
      </c>
      <c r="G17">
        <v>180</v>
      </c>
      <c r="H17">
        <v>20.2</v>
      </c>
      <c r="I17">
        <f t="shared" si="5"/>
        <v>56.2</v>
      </c>
      <c r="J17">
        <f t="shared" si="6"/>
        <v>36</v>
      </c>
      <c r="K17">
        <f t="shared" si="7"/>
        <v>36</v>
      </c>
      <c r="L17">
        <f t="shared" si="8"/>
        <v>75.38</v>
      </c>
      <c r="M17" s="49">
        <v>50</v>
      </c>
      <c r="N17">
        <v>12.5</v>
      </c>
      <c r="O17">
        <f t="shared" si="9"/>
        <v>77.67</v>
      </c>
      <c r="P17" s="49">
        <v>0</v>
      </c>
      <c r="Q17" s="49">
        <v>0</v>
      </c>
      <c r="R17">
        <v>5</v>
      </c>
    </row>
    <row r="18" spans="1:19" s="35" customFormat="1">
      <c r="A18" s="47">
        <v>45887</v>
      </c>
      <c r="B18" t="s">
        <v>4</v>
      </c>
      <c r="C18" s="38" t="s">
        <v>90</v>
      </c>
      <c r="D18" s="48">
        <v>80</v>
      </c>
      <c r="E18" s="49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49">
        <v>0</v>
      </c>
      <c r="N18" s="49">
        <v>0</v>
      </c>
      <c r="O18" s="48">
        <v>-80</v>
      </c>
      <c r="P18" s="49">
        <v>0</v>
      </c>
      <c r="Q18" s="49">
        <v>0</v>
      </c>
      <c r="R18">
        <v>5</v>
      </c>
    </row>
    <row r="19" spans="1:19" s="35" customFormat="1">
      <c r="A19" s="47">
        <v>45887</v>
      </c>
      <c r="B19" t="s">
        <v>4</v>
      </c>
      <c r="C19" s="38" t="s">
        <v>91</v>
      </c>
      <c r="D19" s="48">
        <v>303.3</v>
      </c>
      <c r="E19" s="4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48">
        <v>-303.3</v>
      </c>
      <c r="M19" s="49">
        <v>0</v>
      </c>
      <c r="N19" s="49">
        <v>0</v>
      </c>
      <c r="O19" s="48">
        <v>0</v>
      </c>
      <c r="P19" s="49">
        <v>0</v>
      </c>
      <c r="Q19" s="49">
        <v>0</v>
      </c>
      <c r="R19">
        <v>5</v>
      </c>
    </row>
    <row r="20" spans="1:19" s="35" customFormat="1">
      <c r="A20" s="37">
        <v>45880</v>
      </c>
      <c r="B20" t="s">
        <v>4</v>
      </c>
      <c r="C20" s="38" t="s">
        <v>71</v>
      </c>
      <c r="D20" s="39">
        <v>-343.75</v>
      </c>
      <c r="E20" s="39">
        <v>343.75</v>
      </c>
      <c r="F20">
        <v>143.55000000000001</v>
      </c>
      <c r="G20">
        <v>180</v>
      </c>
      <c r="H20">
        <v>20.2</v>
      </c>
      <c r="I20">
        <f t="shared" ref="I20:I29" si="10">G20/R20+H20</f>
        <v>56.2</v>
      </c>
      <c r="J20">
        <f t="shared" ref="J20:J29" si="11">G20/R20</f>
        <v>36</v>
      </c>
      <c r="K20">
        <f t="shared" ref="K20:K28" si="12">G20/R20</f>
        <v>36</v>
      </c>
      <c r="L20">
        <f t="shared" ref="L20:L24" si="13">G20/R20+39.38</f>
        <v>75.38</v>
      </c>
      <c r="M20">
        <v>50</v>
      </c>
      <c r="N20">
        <v>12.5</v>
      </c>
      <c r="O20">
        <f t="shared" ref="O20:O26" si="14">G20/R20+41.67</f>
        <v>77.67</v>
      </c>
      <c r="P20">
        <v>0</v>
      </c>
      <c r="Q20">
        <v>0</v>
      </c>
      <c r="R20">
        <v>5</v>
      </c>
    </row>
    <row r="21" spans="1:19" s="35" customFormat="1">
      <c r="A21" s="37">
        <v>45848</v>
      </c>
      <c r="B21" t="s">
        <v>4</v>
      </c>
      <c r="C21" s="38" t="s">
        <v>71</v>
      </c>
      <c r="D21" s="39">
        <v>-345.56</v>
      </c>
      <c r="E21" s="39">
        <v>345.56</v>
      </c>
      <c r="F21">
        <v>143.55000000000001</v>
      </c>
      <c r="G21">
        <v>180</v>
      </c>
      <c r="H21">
        <v>20.2</v>
      </c>
      <c r="I21">
        <f t="shared" si="10"/>
        <v>56.2</v>
      </c>
      <c r="J21">
        <f t="shared" si="11"/>
        <v>36</v>
      </c>
      <c r="K21">
        <f t="shared" si="12"/>
        <v>36</v>
      </c>
      <c r="L21">
        <f t="shared" si="13"/>
        <v>75.38</v>
      </c>
      <c r="M21">
        <v>50</v>
      </c>
      <c r="N21">
        <v>12.5</v>
      </c>
      <c r="O21">
        <f t="shared" si="14"/>
        <v>77.67</v>
      </c>
      <c r="P21">
        <v>0</v>
      </c>
      <c r="Q21">
        <v>0</v>
      </c>
      <c r="R21">
        <v>5</v>
      </c>
    </row>
    <row r="22" spans="1:19" s="35" customFormat="1">
      <c r="A22" s="37">
        <v>45838</v>
      </c>
      <c r="B22" t="s">
        <v>4</v>
      </c>
      <c r="C22" s="38" t="s">
        <v>80</v>
      </c>
      <c r="D22" s="39">
        <v>80</v>
      </c>
      <c r="E22" s="39">
        <v>0</v>
      </c>
      <c r="F22" s="40">
        <v>0</v>
      </c>
      <c r="G22" s="40">
        <v>0</v>
      </c>
      <c r="H22" s="40">
        <v>0</v>
      </c>
      <c r="I22">
        <f t="shared" si="10"/>
        <v>0</v>
      </c>
      <c r="J22">
        <f t="shared" si="11"/>
        <v>0</v>
      </c>
      <c r="K22">
        <f t="shared" si="12"/>
        <v>0</v>
      </c>
      <c r="L22">
        <v>0</v>
      </c>
      <c r="M22">
        <v>0</v>
      </c>
      <c r="N22">
        <v>0</v>
      </c>
      <c r="O22">
        <v>-80</v>
      </c>
      <c r="P22">
        <v>0</v>
      </c>
      <c r="Q22">
        <v>0</v>
      </c>
      <c r="R22">
        <v>5</v>
      </c>
    </row>
    <row r="23" spans="1:19" s="35" customFormat="1">
      <c r="A23" s="37">
        <v>45821</v>
      </c>
      <c r="B23" t="s">
        <v>4</v>
      </c>
      <c r="C23" s="38" t="s">
        <v>81</v>
      </c>
      <c r="D23" s="39">
        <v>80</v>
      </c>
      <c r="E23" s="39">
        <v>0</v>
      </c>
      <c r="F23" s="40">
        <v>0</v>
      </c>
      <c r="G23" s="40">
        <v>0</v>
      </c>
      <c r="H23" s="40">
        <v>0</v>
      </c>
      <c r="I23">
        <f t="shared" si="10"/>
        <v>0</v>
      </c>
      <c r="J23">
        <f t="shared" si="11"/>
        <v>0</v>
      </c>
      <c r="K23">
        <f t="shared" si="12"/>
        <v>0</v>
      </c>
      <c r="L23">
        <v>0</v>
      </c>
      <c r="M23">
        <v>0</v>
      </c>
      <c r="N23">
        <v>0</v>
      </c>
      <c r="O23">
        <v>-80</v>
      </c>
      <c r="P23">
        <v>0</v>
      </c>
      <c r="Q23">
        <v>0</v>
      </c>
      <c r="R23">
        <v>5</v>
      </c>
    </row>
    <row r="24" spans="1:19" s="35" customFormat="1">
      <c r="A24" s="37">
        <v>45819</v>
      </c>
      <c r="B24" t="s">
        <v>4</v>
      </c>
      <c r="C24" s="38" t="s">
        <v>71</v>
      </c>
      <c r="D24" s="39">
        <v>-343.75</v>
      </c>
      <c r="E24" s="39">
        <v>343.75</v>
      </c>
      <c r="F24">
        <v>143.55000000000001</v>
      </c>
      <c r="G24">
        <v>180</v>
      </c>
      <c r="H24">
        <v>20.2</v>
      </c>
      <c r="I24">
        <f t="shared" si="10"/>
        <v>56.2</v>
      </c>
      <c r="J24">
        <f t="shared" si="11"/>
        <v>36</v>
      </c>
      <c r="K24">
        <f t="shared" si="12"/>
        <v>36</v>
      </c>
      <c r="L24">
        <f t="shared" si="13"/>
        <v>75.38</v>
      </c>
      <c r="M24">
        <v>50</v>
      </c>
      <c r="N24">
        <v>12.5</v>
      </c>
      <c r="O24">
        <f t="shared" si="14"/>
        <v>77.67</v>
      </c>
      <c r="P24">
        <v>0</v>
      </c>
      <c r="Q24">
        <v>0</v>
      </c>
      <c r="R24">
        <v>5</v>
      </c>
    </row>
    <row r="25" spans="1:19" s="35" customFormat="1">
      <c r="A25" s="37">
        <v>45804</v>
      </c>
      <c r="B25" t="s">
        <v>4</v>
      </c>
      <c r="C25" s="38" t="s">
        <v>82</v>
      </c>
      <c r="D25" s="39">
        <v>80</v>
      </c>
      <c r="E25" s="39">
        <v>0</v>
      </c>
      <c r="F25" s="39">
        <v>0</v>
      </c>
      <c r="G25" s="39">
        <v>0</v>
      </c>
      <c r="H25" s="39">
        <v>0</v>
      </c>
      <c r="I25">
        <f t="shared" si="10"/>
        <v>0</v>
      </c>
      <c r="J25">
        <f t="shared" si="11"/>
        <v>0</v>
      </c>
      <c r="K25">
        <f t="shared" si="12"/>
        <v>0</v>
      </c>
      <c r="L25">
        <v>0</v>
      </c>
      <c r="O25">
        <v>-80</v>
      </c>
      <c r="P25">
        <v>0</v>
      </c>
      <c r="Q25">
        <v>0</v>
      </c>
      <c r="R25">
        <v>5</v>
      </c>
    </row>
    <row r="26" spans="1:19" s="35" customFormat="1">
      <c r="A26" s="37">
        <v>45789</v>
      </c>
      <c r="B26" t="s">
        <v>4</v>
      </c>
      <c r="C26" s="38" t="s">
        <v>71</v>
      </c>
      <c r="D26" s="39">
        <v>-343.75</v>
      </c>
      <c r="E26" s="39">
        <v>343.75</v>
      </c>
      <c r="F26">
        <v>143.55000000000001</v>
      </c>
      <c r="G26">
        <v>180</v>
      </c>
      <c r="H26">
        <v>20.2</v>
      </c>
      <c r="I26">
        <f t="shared" si="10"/>
        <v>56.2</v>
      </c>
      <c r="J26">
        <f t="shared" si="11"/>
        <v>36</v>
      </c>
      <c r="K26">
        <f t="shared" si="12"/>
        <v>36</v>
      </c>
      <c r="L26">
        <f>G26/R26+39.38+1.81</f>
        <v>77.19</v>
      </c>
      <c r="M26">
        <v>50</v>
      </c>
      <c r="N26">
        <v>12.5</v>
      </c>
      <c r="O26">
        <f t="shared" si="14"/>
        <v>77.67</v>
      </c>
      <c r="P26">
        <v>0</v>
      </c>
      <c r="Q26">
        <v>0</v>
      </c>
      <c r="R26">
        <v>5</v>
      </c>
    </row>
    <row r="27" spans="1:19" s="35" customFormat="1">
      <c r="A27" s="37">
        <v>45775</v>
      </c>
      <c r="B27" t="s">
        <v>4</v>
      </c>
      <c r="C27" s="38" t="s">
        <v>83</v>
      </c>
      <c r="D27" s="39">
        <v>80</v>
      </c>
      <c r="E27" s="39">
        <v>0</v>
      </c>
      <c r="F27">
        <v>0</v>
      </c>
      <c r="G27">
        <v>0</v>
      </c>
      <c r="H27">
        <v>0</v>
      </c>
      <c r="I27">
        <f t="shared" si="10"/>
        <v>0</v>
      </c>
      <c r="J27">
        <f t="shared" si="11"/>
        <v>0</v>
      </c>
      <c r="K27">
        <f t="shared" si="12"/>
        <v>0</v>
      </c>
      <c r="L27">
        <v>0</v>
      </c>
      <c r="M27">
        <v>0</v>
      </c>
      <c r="N27">
        <v>0</v>
      </c>
      <c r="O27">
        <v>-80</v>
      </c>
      <c r="P27">
        <v>0</v>
      </c>
      <c r="Q27">
        <v>0</v>
      </c>
      <c r="R27">
        <v>5</v>
      </c>
    </row>
    <row r="28" spans="1:19" s="35" customFormat="1">
      <c r="A28" s="36">
        <v>45758</v>
      </c>
      <c r="B28" t="s">
        <v>4</v>
      </c>
      <c r="C28" s="38" t="s">
        <v>78</v>
      </c>
      <c r="D28" s="39">
        <v>77.48</v>
      </c>
      <c r="E28" s="39">
        <v>0</v>
      </c>
      <c r="F28">
        <v>0</v>
      </c>
      <c r="G28">
        <v>0</v>
      </c>
      <c r="H28">
        <v>0</v>
      </c>
      <c r="I28">
        <f t="shared" si="10"/>
        <v>0</v>
      </c>
      <c r="J28">
        <f t="shared" si="11"/>
        <v>0</v>
      </c>
      <c r="K28">
        <f t="shared" si="12"/>
        <v>0</v>
      </c>
      <c r="L28" s="39">
        <v>-77.48</v>
      </c>
      <c r="M28">
        <v>0</v>
      </c>
      <c r="N28">
        <v>0</v>
      </c>
      <c r="O28">
        <v>0</v>
      </c>
      <c r="P28">
        <v>0</v>
      </c>
      <c r="Q28">
        <v>0</v>
      </c>
      <c r="R28">
        <v>5</v>
      </c>
    </row>
    <row r="29" spans="1:19" s="35" customFormat="1" ht="17" thickBot="1">
      <c r="A29" s="36">
        <v>45758</v>
      </c>
      <c r="B29" t="s">
        <v>4</v>
      </c>
      <c r="C29" s="38" t="s">
        <v>79</v>
      </c>
      <c r="D29" s="39">
        <v>90</v>
      </c>
      <c r="E29" s="39">
        <v>0</v>
      </c>
      <c r="F29">
        <v>0</v>
      </c>
      <c r="G29">
        <v>0</v>
      </c>
      <c r="H29">
        <v>0</v>
      </c>
      <c r="I29">
        <f t="shared" si="10"/>
        <v>0</v>
      </c>
      <c r="J29">
        <f t="shared" si="11"/>
        <v>0</v>
      </c>
      <c r="K29">
        <v>-90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</v>
      </c>
    </row>
    <row r="30" spans="1:19" s="69" customFormat="1" ht="17" thickBot="1">
      <c r="A30" s="1">
        <v>45757</v>
      </c>
      <c r="B30" t="s">
        <v>4</v>
      </c>
      <c r="C30" t="s">
        <v>5</v>
      </c>
      <c r="D30">
        <v>-357.91</v>
      </c>
      <c r="E30">
        <v>357.91</v>
      </c>
      <c r="F30">
        <v>143.55000000000001</v>
      </c>
      <c r="G30">
        <v>194.16</v>
      </c>
      <c r="H30">
        <v>20.2</v>
      </c>
      <c r="I30">
        <f>G30/R30+H30</f>
        <v>59.031999999999996</v>
      </c>
      <c r="J30">
        <f>G30/R30</f>
        <v>38.832000000000001</v>
      </c>
      <c r="K30">
        <f>G30/R30</f>
        <v>38.832000000000001</v>
      </c>
      <c r="L30">
        <f>G30/R30+39.38</f>
        <v>78.212000000000003</v>
      </c>
      <c r="M30">
        <v>50</v>
      </c>
      <c r="N30">
        <v>12.5</v>
      </c>
      <c r="O30">
        <f>G30/R30+41.67</f>
        <v>80.50200000000001</v>
      </c>
      <c r="P30">
        <v>0</v>
      </c>
      <c r="Q30">
        <v>0</v>
      </c>
      <c r="R30">
        <v>5</v>
      </c>
      <c r="S30" s="68"/>
    </row>
    <row r="31" spans="1:19" s="69" customFormat="1">
      <c r="A31" s="1">
        <v>45727</v>
      </c>
      <c r="B31" t="s">
        <v>4</v>
      </c>
      <c r="C31" t="s">
        <v>75</v>
      </c>
      <c r="D31">
        <v>238</v>
      </c>
      <c r="E31">
        <v>0</v>
      </c>
      <c r="F31">
        <v>0</v>
      </c>
      <c r="G31">
        <v>0</v>
      </c>
      <c r="H31">
        <v>0</v>
      </c>
      <c r="I31">
        <v>0</v>
      </c>
      <c r="J31">
        <f>G31/4</f>
        <v>0</v>
      </c>
      <c r="K31">
        <v>0</v>
      </c>
      <c r="L31">
        <v>-238</v>
      </c>
      <c r="M31">
        <v>0</v>
      </c>
      <c r="N31">
        <v>0</v>
      </c>
      <c r="O31">
        <v>0</v>
      </c>
      <c r="P31">
        <v>0</v>
      </c>
      <c r="Q31">
        <v>0</v>
      </c>
      <c r="R31">
        <v>5</v>
      </c>
    </row>
    <row r="32" spans="1:19" s="69" customFormat="1">
      <c r="A32" s="1">
        <v>45713</v>
      </c>
      <c r="B32" t="s">
        <v>4</v>
      </c>
      <c r="C32" t="s">
        <v>76</v>
      </c>
      <c r="D32">
        <v>90</v>
      </c>
      <c r="E32">
        <v>0</v>
      </c>
      <c r="F32">
        <v>0</v>
      </c>
      <c r="G32">
        <v>0</v>
      </c>
      <c r="H32">
        <v>0</v>
      </c>
      <c r="I32">
        <v>0</v>
      </c>
      <c r="J32">
        <f>G32/4</f>
        <v>0</v>
      </c>
      <c r="K32">
        <v>-90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</v>
      </c>
    </row>
    <row r="33" spans="1:18">
      <c r="A33" s="1">
        <v>45726</v>
      </c>
      <c r="B33" t="s">
        <v>4</v>
      </c>
      <c r="C33" t="s">
        <v>5</v>
      </c>
      <c r="D33">
        <v>-282.08</v>
      </c>
      <c r="E33">
        <v>282.08</v>
      </c>
      <c r="F33">
        <v>101.88</v>
      </c>
      <c r="G33">
        <v>160</v>
      </c>
      <c r="H33">
        <v>20.2</v>
      </c>
      <c r="I33">
        <f>G33/4+H33</f>
        <v>60.2</v>
      </c>
      <c r="J33">
        <f>G33/4</f>
        <v>40</v>
      </c>
      <c r="K33">
        <v>40</v>
      </c>
      <c r="L33">
        <f>G33/4+39.38</f>
        <v>79.38</v>
      </c>
      <c r="M33">
        <v>50</v>
      </c>
      <c r="N33">
        <v>12.5</v>
      </c>
      <c r="O33">
        <v>0</v>
      </c>
      <c r="P33">
        <v>0</v>
      </c>
      <c r="Q33">
        <v>0</v>
      </c>
      <c r="R33">
        <v>4</v>
      </c>
    </row>
    <row r="34" spans="1:18">
      <c r="A34" s="1">
        <v>45698</v>
      </c>
      <c r="B34" t="s">
        <v>4</v>
      </c>
      <c r="C34" t="s">
        <v>5</v>
      </c>
      <c r="D34">
        <v>-304.12</v>
      </c>
      <c r="E34">
        <v>304.12</v>
      </c>
      <c r="F34">
        <v>101.88</v>
      </c>
      <c r="G34">
        <v>184</v>
      </c>
      <c r="H34">
        <f>17.96+0.28</f>
        <v>18.240000000000002</v>
      </c>
      <c r="I34">
        <f>G34/6+17.96</f>
        <v>48.626666666666665</v>
      </c>
      <c r="J34">
        <f>G34/6</f>
        <v>30.666666666666668</v>
      </c>
      <c r="K34">
        <f t="shared" ref="K34" si="15">G34/6</f>
        <v>30.666666666666668</v>
      </c>
      <c r="L34">
        <f t="shared" ref="L34" si="16">G34/6+39.38</f>
        <v>70.046666666666667</v>
      </c>
      <c r="M34">
        <f>G34/6+50</f>
        <v>80.666666666666671</v>
      </c>
      <c r="N34">
        <f>G34/6+12.5+0.28</f>
        <v>43.446666666666673</v>
      </c>
      <c r="O34">
        <v>0</v>
      </c>
      <c r="P34">
        <v>0</v>
      </c>
      <c r="Q34">
        <v>0</v>
      </c>
      <c r="R34">
        <v>6</v>
      </c>
    </row>
    <row r="35" spans="1:18">
      <c r="A35" s="1">
        <v>45667</v>
      </c>
      <c r="B35" t="s">
        <v>4</v>
      </c>
      <c r="C35" t="s">
        <v>5</v>
      </c>
      <c r="D35">
        <v>-329.63</v>
      </c>
      <c r="E35">
        <v>329.63</v>
      </c>
      <c r="F35">
        <v>101.88</v>
      </c>
      <c r="G35">
        <v>180</v>
      </c>
      <c r="H35">
        <f>17.96+29.79</f>
        <v>47.75</v>
      </c>
      <c r="I35">
        <f>G35/6+17.96</f>
        <v>47.96</v>
      </c>
      <c r="J35">
        <f>G35/6+0.25+(1.18+1.36)/3</f>
        <v>31.096666666666668</v>
      </c>
      <c r="K35">
        <f>G35/6</f>
        <v>30</v>
      </c>
      <c r="L35">
        <f>G35/6+39.38</f>
        <v>69.38</v>
      </c>
      <c r="M35">
        <f>G35/6+50+5.75+(1.18+1.36)/3</f>
        <v>86.596666666666664</v>
      </c>
      <c r="N35">
        <f>G35/6+12.5+1.25+20+(1.18+1.36)/3</f>
        <v>64.596666666666664</v>
      </c>
      <c r="O35">
        <v>0</v>
      </c>
      <c r="P35">
        <v>0</v>
      </c>
      <c r="Q35">
        <v>0</v>
      </c>
      <c r="R35">
        <v>6</v>
      </c>
    </row>
    <row r="36" spans="1:18">
      <c r="A36" s="1">
        <v>45636</v>
      </c>
      <c r="B36" t="s">
        <v>4</v>
      </c>
      <c r="C36" t="s">
        <v>71</v>
      </c>
      <c r="D36">
        <v>-317.75</v>
      </c>
      <c r="E36">
        <v>317.75</v>
      </c>
      <c r="F36">
        <v>114.38</v>
      </c>
      <c r="G36" s="31">
        <v>180</v>
      </c>
      <c r="H36">
        <f>SUM(17.96,5.41)</f>
        <v>23.37</v>
      </c>
      <c r="I36">
        <f>30+16+1.96</f>
        <v>47.96</v>
      </c>
      <c r="J36">
        <v>30</v>
      </c>
      <c r="K36">
        <v>30</v>
      </c>
      <c r="L36">
        <f>30+12.5+39.38</f>
        <v>81.88</v>
      </c>
      <c r="M36">
        <f>30+50</f>
        <v>80</v>
      </c>
      <c r="N36">
        <f>30+5.41+12.5</f>
        <v>47.91</v>
      </c>
      <c r="O36">
        <v>0</v>
      </c>
      <c r="P36">
        <v>0</v>
      </c>
      <c r="Q36">
        <v>0</v>
      </c>
      <c r="R36">
        <v>6</v>
      </c>
    </row>
    <row r="37" spans="1:18">
      <c r="A37" s="1">
        <v>45628</v>
      </c>
      <c r="B37" t="s">
        <v>4</v>
      </c>
      <c r="C37" t="s">
        <v>54</v>
      </c>
      <c r="D37">
        <v>96</v>
      </c>
      <c r="E37">
        <v>0</v>
      </c>
      <c r="F37">
        <v>0</v>
      </c>
      <c r="G37">
        <v>0</v>
      </c>
      <c r="H37">
        <v>0</v>
      </c>
      <c r="I37">
        <v>0</v>
      </c>
      <c r="J37">
        <v>-96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6</v>
      </c>
    </row>
    <row r="38" spans="1:18">
      <c r="A38" s="1">
        <v>45623</v>
      </c>
      <c r="B38" t="s">
        <v>4</v>
      </c>
      <c r="C38" t="s">
        <v>11</v>
      </c>
      <c r="D38">
        <v>320.43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f>-D38</f>
        <v>-320.43</v>
      </c>
      <c r="N38">
        <v>0</v>
      </c>
      <c r="O38">
        <v>0</v>
      </c>
      <c r="P38">
        <v>0</v>
      </c>
      <c r="Q38">
        <v>0</v>
      </c>
      <c r="R38">
        <v>6</v>
      </c>
    </row>
    <row r="39" spans="1:18">
      <c r="A39" s="1">
        <v>45608</v>
      </c>
      <c r="B39" t="s">
        <v>4</v>
      </c>
      <c r="C39" t="s">
        <v>5</v>
      </c>
      <c r="D39">
        <v>-108.5</v>
      </c>
      <c r="E39">
        <f>SUM(F39:H39)</f>
        <v>299.34000000000003</v>
      </c>
      <c r="F39">
        <v>95.84</v>
      </c>
      <c r="G39">
        <v>180</v>
      </c>
      <c r="H39">
        <v>23.5</v>
      </c>
      <c r="I39">
        <f>G39/R39+H39</f>
        <v>53.5</v>
      </c>
      <c r="J39">
        <f>G39/R39</f>
        <v>30</v>
      </c>
      <c r="K39">
        <f>G39/R39</f>
        <v>30</v>
      </c>
      <c r="L39">
        <f>G39/R39+33.34</f>
        <v>63.34</v>
      </c>
      <c r="M39">
        <f>G39/R39+50</f>
        <v>80</v>
      </c>
      <c r="N39">
        <f>G39/R39+12.5</f>
        <v>42.5</v>
      </c>
      <c r="O39">
        <v>0</v>
      </c>
      <c r="P39">
        <f>E39-SUM(I39:N39)</f>
        <v>0</v>
      </c>
      <c r="Q39">
        <f>D39+E39</f>
        <v>190.84000000000003</v>
      </c>
      <c r="R39">
        <v>6</v>
      </c>
    </row>
    <row r="40" spans="1:18">
      <c r="A40" s="1">
        <v>45575</v>
      </c>
      <c r="B40" t="s">
        <v>4</v>
      </c>
      <c r="C40" t="s">
        <v>5</v>
      </c>
      <c r="D40">
        <v>-252.64</v>
      </c>
      <c r="E40">
        <f t="shared" ref="E40:E62" si="17">SUM(F40:H40)</f>
        <v>252.64</v>
      </c>
      <c r="F40">
        <v>62.5</v>
      </c>
      <c r="G40">
        <v>180</v>
      </c>
      <c r="H40">
        <v>10.14</v>
      </c>
      <c r="I40">
        <f>G40/R40</f>
        <v>30</v>
      </c>
      <c r="J40">
        <f>G40/R40</f>
        <v>30</v>
      </c>
      <c r="K40">
        <f>G40/R40</f>
        <v>30</v>
      </c>
      <c r="L40">
        <f>G40/R40</f>
        <v>30</v>
      </c>
      <c r="M40">
        <f>G40/R40+50</f>
        <v>80</v>
      </c>
      <c r="N40">
        <f>G40/R40+12.5+H40</f>
        <v>52.64</v>
      </c>
      <c r="O40">
        <v>0</v>
      </c>
      <c r="P40">
        <f>E40-SUM(I40:N40)</f>
        <v>0</v>
      </c>
      <c r="Q40">
        <v>0</v>
      </c>
      <c r="R40">
        <v>6</v>
      </c>
    </row>
    <row r="41" spans="1:18">
      <c r="A41" s="1">
        <v>45545</v>
      </c>
      <c r="B41" t="s">
        <v>4</v>
      </c>
      <c r="C41" t="s">
        <v>5</v>
      </c>
      <c r="D41">
        <v>-286.43</v>
      </c>
      <c r="E41">
        <f t="shared" si="17"/>
        <v>286.43</v>
      </c>
      <c r="F41">
        <v>62.5</v>
      </c>
      <c r="G41">
        <v>180</v>
      </c>
      <c r="H41">
        <v>43.93</v>
      </c>
      <c r="I41">
        <f>G41/R41</f>
        <v>30</v>
      </c>
      <c r="J41">
        <f>G41/R41</f>
        <v>30</v>
      </c>
      <c r="K41">
        <f>G41/R41</f>
        <v>30</v>
      </c>
      <c r="L41">
        <f>G41/R41</f>
        <v>30</v>
      </c>
      <c r="M41">
        <f>G41/R41+50+35.34</f>
        <v>115.34</v>
      </c>
      <c r="N41">
        <f>G41/R41+12.5+8.59</f>
        <v>51.09</v>
      </c>
      <c r="O41">
        <v>0</v>
      </c>
      <c r="P41">
        <f>E41-SUM(I41:N41)</f>
        <v>0</v>
      </c>
      <c r="Q41">
        <v>0</v>
      </c>
      <c r="R41">
        <v>6</v>
      </c>
    </row>
    <row r="42" spans="1:18">
      <c r="A42" s="1">
        <v>45527</v>
      </c>
      <c r="B42" t="s">
        <v>4</v>
      </c>
      <c r="C42" t="s">
        <v>6</v>
      </c>
      <c r="D42">
        <v>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>-D42</f>
        <v>-30</v>
      </c>
      <c r="M42">
        <f>G42/R42</f>
        <v>0</v>
      </c>
      <c r="N42">
        <f>G42/R42</f>
        <v>0</v>
      </c>
      <c r="O42">
        <v>0</v>
      </c>
      <c r="P42">
        <v>0</v>
      </c>
      <c r="Q42">
        <v>0</v>
      </c>
      <c r="R42">
        <v>6</v>
      </c>
    </row>
    <row r="43" spans="1:18">
      <c r="A43" s="1">
        <v>45519</v>
      </c>
      <c r="B43" t="s">
        <v>4</v>
      </c>
      <c r="C43" t="s">
        <v>7</v>
      </c>
      <c r="D43">
        <v>30</v>
      </c>
      <c r="E43">
        <v>0</v>
      </c>
      <c r="F43">
        <v>0</v>
      </c>
      <c r="G43">
        <v>0</v>
      </c>
      <c r="H43">
        <v>0</v>
      </c>
      <c r="I43">
        <v>0</v>
      </c>
      <c r="J43">
        <f>-D43</f>
        <v>-30</v>
      </c>
      <c r="K43">
        <v>0</v>
      </c>
      <c r="L43">
        <v>0</v>
      </c>
      <c r="M43">
        <f>G43/R43</f>
        <v>0</v>
      </c>
      <c r="N43">
        <f>G43/R43</f>
        <v>0</v>
      </c>
      <c r="O43">
        <v>0</v>
      </c>
      <c r="P43">
        <v>0</v>
      </c>
      <c r="Q43">
        <v>0</v>
      </c>
      <c r="R43">
        <v>6</v>
      </c>
    </row>
    <row r="44" spans="1:18">
      <c r="A44" s="1">
        <v>45519</v>
      </c>
      <c r="B44" t="s">
        <v>4</v>
      </c>
      <c r="C44" t="s">
        <v>8</v>
      </c>
      <c r="D44">
        <v>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>-D44</f>
        <v>-30</v>
      </c>
      <c r="L44">
        <v>0</v>
      </c>
      <c r="M44">
        <f>G44/R44</f>
        <v>0</v>
      </c>
      <c r="N44">
        <f>G44/R44</f>
        <v>0</v>
      </c>
      <c r="O44">
        <v>0</v>
      </c>
      <c r="P44">
        <v>0</v>
      </c>
      <c r="Q44">
        <v>0</v>
      </c>
      <c r="R44">
        <v>6</v>
      </c>
    </row>
    <row r="45" spans="1:18">
      <c r="A45" s="1">
        <v>45516</v>
      </c>
      <c r="B45" t="s">
        <v>4</v>
      </c>
      <c r="C45" t="s">
        <v>5</v>
      </c>
      <c r="D45">
        <v>-242.5</v>
      </c>
      <c r="E45">
        <f t="shared" si="17"/>
        <v>242.5</v>
      </c>
      <c r="F45">
        <v>62.5</v>
      </c>
      <c r="G45">
        <v>180</v>
      </c>
      <c r="H45">
        <v>0</v>
      </c>
      <c r="I45">
        <f>G45/R45</f>
        <v>30</v>
      </c>
      <c r="J45">
        <f>G45/R45</f>
        <v>30</v>
      </c>
      <c r="K45">
        <f>G45/R45</f>
        <v>30</v>
      </c>
      <c r="L45">
        <f>G45/R45</f>
        <v>30</v>
      </c>
      <c r="M45">
        <f>G45/R45+50</f>
        <v>80</v>
      </c>
      <c r="N45">
        <f>G45/R45+12.5</f>
        <v>42.5</v>
      </c>
      <c r="O45">
        <v>0</v>
      </c>
      <c r="P45">
        <f>E45-SUM(I45:N45)</f>
        <v>0</v>
      </c>
      <c r="Q45">
        <v>0</v>
      </c>
      <c r="R45">
        <v>6</v>
      </c>
    </row>
    <row r="46" spans="1:18">
      <c r="A46" s="1">
        <v>45483</v>
      </c>
      <c r="B46" t="s">
        <v>4</v>
      </c>
      <c r="C46" t="s">
        <v>5</v>
      </c>
      <c r="D46">
        <v>-731.01</v>
      </c>
      <c r="E46">
        <f t="shared" si="17"/>
        <v>731.01</v>
      </c>
      <c r="F46">
        <v>62.5</v>
      </c>
      <c r="G46">
        <v>177.5</v>
      </c>
      <c r="H46">
        <v>491.01</v>
      </c>
      <c r="I46">
        <f>G46/6</f>
        <v>29.583333333333332</v>
      </c>
      <c r="J46">
        <f>G46/6+H46</f>
        <v>520.59333333333336</v>
      </c>
      <c r="K46">
        <f>G46/6</f>
        <v>29.583333333333332</v>
      </c>
      <c r="L46">
        <f>G46/6</f>
        <v>29.583333333333332</v>
      </c>
      <c r="M46">
        <f>G46/R46+50</f>
        <v>79.583333333333329</v>
      </c>
      <c r="N46">
        <f>G46/R46+12.5</f>
        <v>42.083333333333329</v>
      </c>
      <c r="O46">
        <v>0</v>
      </c>
      <c r="P46">
        <f>E46-SUM(I46:N46)</f>
        <v>0</v>
      </c>
      <c r="Q46">
        <v>0</v>
      </c>
      <c r="R46">
        <v>6</v>
      </c>
    </row>
    <row r="47" spans="1:18">
      <c r="A47" s="1">
        <v>45478</v>
      </c>
      <c r="B47" t="s">
        <v>4</v>
      </c>
      <c r="C47" t="s">
        <v>9</v>
      </c>
      <c r="D47">
        <v>520</v>
      </c>
      <c r="E47">
        <v>0</v>
      </c>
      <c r="F47">
        <v>0</v>
      </c>
      <c r="G47">
        <v>0</v>
      </c>
      <c r="H47">
        <v>0</v>
      </c>
      <c r="I47">
        <v>0</v>
      </c>
      <c r="J47">
        <f>-D47</f>
        <v>-520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</v>
      </c>
    </row>
    <row r="48" spans="1:18">
      <c r="A48" s="1">
        <v>45467</v>
      </c>
      <c r="B48" t="s">
        <v>4</v>
      </c>
      <c r="C48" t="s">
        <v>10</v>
      </c>
      <c r="D48">
        <v>29.5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>-D48</f>
        <v>-29.5</v>
      </c>
      <c r="M48">
        <v>0</v>
      </c>
      <c r="N48">
        <v>0</v>
      </c>
      <c r="O48">
        <v>0</v>
      </c>
      <c r="P48">
        <v>0</v>
      </c>
      <c r="Q48">
        <v>0</v>
      </c>
      <c r="R48">
        <v>4</v>
      </c>
    </row>
    <row r="49" spans="1:18">
      <c r="A49" s="1">
        <v>45467</v>
      </c>
      <c r="B49" t="s">
        <v>4</v>
      </c>
      <c r="C49" t="s">
        <v>11</v>
      </c>
      <c r="D49">
        <v>90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L49">
        <v>0</v>
      </c>
      <c r="M49">
        <f>-D49</f>
        <v>-90</v>
      </c>
      <c r="N49">
        <v>0</v>
      </c>
      <c r="O49">
        <v>0</v>
      </c>
      <c r="P49">
        <v>0</v>
      </c>
      <c r="Q49">
        <v>0</v>
      </c>
      <c r="R49">
        <v>4</v>
      </c>
    </row>
    <row r="50" spans="1:18">
      <c r="A50" s="1">
        <v>45467</v>
      </c>
      <c r="B50" t="s">
        <v>4</v>
      </c>
      <c r="C50" t="s">
        <v>12</v>
      </c>
      <c r="D50">
        <v>130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>-D50</f>
        <v>-130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</v>
      </c>
    </row>
    <row r="51" spans="1:18">
      <c r="A51" s="1">
        <v>45453</v>
      </c>
      <c r="B51" t="s">
        <v>4</v>
      </c>
      <c r="C51" t="s">
        <v>5</v>
      </c>
      <c r="D51">
        <v>-166.73</v>
      </c>
      <c r="E51">
        <f t="shared" si="17"/>
        <v>166.73</v>
      </c>
      <c r="F51">
        <v>0</v>
      </c>
      <c r="G51">
        <v>160</v>
      </c>
      <c r="H51">
        <v>6.73</v>
      </c>
      <c r="I51">
        <f>G51/4</f>
        <v>40</v>
      </c>
      <c r="J51">
        <f>G51/4</f>
        <v>40</v>
      </c>
      <c r="K51">
        <f>G51/4+H51</f>
        <v>46.730000000000004</v>
      </c>
      <c r="L51">
        <f>G51/4</f>
        <v>40</v>
      </c>
      <c r="M51">
        <v>0</v>
      </c>
      <c r="N51">
        <v>0</v>
      </c>
      <c r="O51">
        <v>0</v>
      </c>
      <c r="P51">
        <f>E51-SUM(I51:N51)</f>
        <v>0</v>
      </c>
      <c r="Q51">
        <v>0</v>
      </c>
      <c r="R51">
        <v>4</v>
      </c>
    </row>
    <row r="52" spans="1:18">
      <c r="A52" s="1">
        <v>45448</v>
      </c>
      <c r="B52" t="s">
        <v>4</v>
      </c>
      <c r="C52" t="s">
        <v>13</v>
      </c>
      <c r="D52">
        <v>80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>-D52</f>
        <v>-80</v>
      </c>
      <c r="M52">
        <v>0</v>
      </c>
      <c r="N52">
        <v>0</v>
      </c>
      <c r="O52">
        <v>0</v>
      </c>
      <c r="P52">
        <v>0</v>
      </c>
      <c r="Q52">
        <v>0</v>
      </c>
      <c r="R52">
        <v>4</v>
      </c>
    </row>
    <row r="53" spans="1:18">
      <c r="A53" s="1">
        <v>45440</v>
      </c>
      <c r="B53" t="s">
        <v>4</v>
      </c>
      <c r="C53" t="s">
        <v>14</v>
      </c>
      <c r="D53">
        <v>117</v>
      </c>
      <c r="E53">
        <v>0</v>
      </c>
      <c r="F53">
        <v>0</v>
      </c>
      <c r="G53">
        <v>0</v>
      </c>
      <c r="H53">
        <v>0</v>
      </c>
      <c r="I53">
        <v>0</v>
      </c>
      <c r="J53">
        <f>-D53</f>
        <v>-117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</v>
      </c>
    </row>
    <row r="54" spans="1:18">
      <c r="A54" s="1">
        <v>45422</v>
      </c>
      <c r="B54" t="s">
        <v>4</v>
      </c>
      <c r="C54" t="s">
        <v>5</v>
      </c>
      <c r="D54">
        <v>-173.46</v>
      </c>
      <c r="E54">
        <f>SUM(F54:H54)</f>
        <v>173.46</v>
      </c>
      <c r="F54">
        <v>0</v>
      </c>
      <c r="G54">
        <v>160</v>
      </c>
      <c r="H54">
        <v>13.46</v>
      </c>
      <c r="I54">
        <v>40</v>
      </c>
      <c r="J54">
        <v>40</v>
      </c>
      <c r="K54">
        <f>G54/4+H54</f>
        <v>53.46</v>
      </c>
      <c r="L54">
        <v>40</v>
      </c>
      <c r="M54">
        <v>0</v>
      </c>
      <c r="N54">
        <v>0</v>
      </c>
      <c r="O54">
        <v>0</v>
      </c>
      <c r="P54">
        <f>E54-SUM(I54:N54)</f>
        <v>0</v>
      </c>
      <c r="Q54">
        <v>0</v>
      </c>
      <c r="R54">
        <v>4</v>
      </c>
    </row>
    <row r="55" spans="1:18">
      <c r="A55" s="1">
        <v>45404</v>
      </c>
      <c r="B55" t="s">
        <v>4</v>
      </c>
      <c r="C55" t="s">
        <v>15</v>
      </c>
      <c r="D55">
        <v>40</v>
      </c>
      <c r="E55">
        <v>0</v>
      </c>
      <c r="F55">
        <v>0</v>
      </c>
      <c r="G55">
        <v>0</v>
      </c>
      <c r="H55">
        <v>0</v>
      </c>
      <c r="I55">
        <v>0</v>
      </c>
      <c r="J55">
        <f>-D55</f>
        <v>-40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</v>
      </c>
    </row>
    <row r="56" spans="1:18">
      <c r="A56" s="1">
        <v>45404</v>
      </c>
      <c r="B56" t="s">
        <v>4</v>
      </c>
      <c r="C56" t="s">
        <v>16</v>
      </c>
      <c r="D56">
        <v>40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f>-D56</f>
        <v>-40</v>
      </c>
      <c r="M56">
        <v>0</v>
      </c>
      <c r="N56">
        <v>0</v>
      </c>
      <c r="O56">
        <v>0</v>
      </c>
      <c r="P56">
        <v>0</v>
      </c>
      <c r="Q56">
        <v>0</v>
      </c>
      <c r="R56">
        <v>4</v>
      </c>
    </row>
    <row r="57" spans="1:18">
      <c r="A57" s="1">
        <v>45392</v>
      </c>
      <c r="B57" t="s">
        <v>4</v>
      </c>
      <c r="C57" t="s">
        <v>5</v>
      </c>
      <c r="D57">
        <v>-160</v>
      </c>
      <c r="E57">
        <f t="shared" si="17"/>
        <v>160</v>
      </c>
      <c r="F57">
        <v>0</v>
      </c>
      <c r="G57">
        <v>160</v>
      </c>
      <c r="H57">
        <v>0</v>
      </c>
      <c r="I57">
        <f>G57/4</f>
        <v>40</v>
      </c>
      <c r="J57">
        <f>G57/4</f>
        <v>40</v>
      </c>
      <c r="K57">
        <f>G57/4</f>
        <v>40</v>
      </c>
      <c r="L57">
        <f>G57/4</f>
        <v>40</v>
      </c>
      <c r="M57">
        <v>0</v>
      </c>
      <c r="N57">
        <v>0</v>
      </c>
      <c r="O57">
        <v>0</v>
      </c>
      <c r="P57">
        <v>0</v>
      </c>
      <c r="Q57">
        <v>0</v>
      </c>
      <c r="R57">
        <v>4</v>
      </c>
    </row>
    <row r="58" spans="1:18">
      <c r="A58" s="1">
        <v>45378</v>
      </c>
      <c r="B58" t="s">
        <v>4</v>
      </c>
      <c r="C58" t="s">
        <v>17</v>
      </c>
      <c r="D58">
        <v>70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>-D58</f>
        <v>-70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4</v>
      </c>
    </row>
    <row r="59" spans="1:18">
      <c r="A59" s="1">
        <v>45366</v>
      </c>
      <c r="B59" t="s">
        <v>4</v>
      </c>
      <c r="C59" t="s">
        <v>18</v>
      </c>
      <c r="D59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f>-D59</f>
        <v>-38</v>
      </c>
      <c r="M59">
        <v>0</v>
      </c>
      <c r="N59">
        <v>0</v>
      </c>
      <c r="O59">
        <v>0</v>
      </c>
      <c r="P59">
        <v>0</v>
      </c>
      <c r="Q59">
        <v>0</v>
      </c>
      <c r="R59">
        <v>4</v>
      </c>
    </row>
    <row r="60" spans="1:18">
      <c r="A60" s="1">
        <v>45362</v>
      </c>
      <c r="B60" t="s">
        <v>4</v>
      </c>
      <c r="C60" t="s">
        <v>5</v>
      </c>
      <c r="D60">
        <v>-152.79</v>
      </c>
      <c r="E60">
        <f t="shared" si="17"/>
        <v>152.79</v>
      </c>
      <c r="F60">
        <v>0</v>
      </c>
      <c r="G60">
        <v>151.66999999999999</v>
      </c>
      <c r="H60">
        <v>1.1200000000000001</v>
      </c>
      <c r="I60">
        <f>G60/4</f>
        <v>37.917499999999997</v>
      </c>
      <c r="J60">
        <f>G60/4</f>
        <v>37.917499999999997</v>
      </c>
      <c r="K60">
        <f>G60/4</f>
        <v>37.917499999999997</v>
      </c>
      <c r="L60">
        <f>G60/4</f>
        <v>37.917499999999997</v>
      </c>
      <c r="M60">
        <v>0</v>
      </c>
      <c r="N60">
        <v>0</v>
      </c>
      <c r="O60">
        <v>0</v>
      </c>
      <c r="P60">
        <f>E60-SUM(I60:N60)</f>
        <v>1.1200000000000045</v>
      </c>
      <c r="Q60">
        <v>0</v>
      </c>
      <c r="R60">
        <v>5</v>
      </c>
    </row>
    <row r="61" spans="1:18">
      <c r="A61" s="1">
        <v>45343</v>
      </c>
      <c r="B61" t="s">
        <v>4</v>
      </c>
      <c r="C61" t="s">
        <v>19</v>
      </c>
      <c r="D61">
        <v>37</v>
      </c>
      <c r="E61">
        <v>0</v>
      </c>
      <c r="F61">
        <v>0</v>
      </c>
      <c r="G61" s="2">
        <v>0</v>
      </c>
      <c r="H61" s="2">
        <v>0</v>
      </c>
      <c r="I61" s="2">
        <v>0</v>
      </c>
      <c r="J61" s="2">
        <f>-D61</f>
        <v>-37</v>
      </c>
      <c r="K61" s="2">
        <v>0</v>
      </c>
      <c r="L61" s="2">
        <v>0</v>
      </c>
      <c r="M61">
        <v>0</v>
      </c>
      <c r="N61">
        <v>0</v>
      </c>
      <c r="O61">
        <v>0</v>
      </c>
      <c r="P61" s="2">
        <v>0</v>
      </c>
      <c r="Q61">
        <v>0</v>
      </c>
      <c r="R61">
        <v>5</v>
      </c>
    </row>
    <row r="62" spans="1:18">
      <c r="A62" s="1">
        <v>45334</v>
      </c>
      <c r="B62" t="s">
        <v>4</v>
      </c>
      <c r="C62" t="s">
        <v>5</v>
      </c>
      <c r="D62">
        <v>-205.28</v>
      </c>
      <c r="E62">
        <f t="shared" si="17"/>
        <v>205.56</v>
      </c>
      <c r="F62">
        <v>0</v>
      </c>
      <c r="G62">
        <v>205.28</v>
      </c>
      <c r="H62">
        <v>0.28000000000000003</v>
      </c>
      <c r="I62">
        <f>G62/5</f>
        <v>41.055999999999997</v>
      </c>
      <c r="J62">
        <f>G62/5</f>
        <v>41.055999999999997</v>
      </c>
      <c r="K62">
        <f>G62/5</f>
        <v>41.055999999999997</v>
      </c>
      <c r="L62">
        <f>G62/5</f>
        <v>41.055999999999997</v>
      </c>
      <c r="M62">
        <v>0</v>
      </c>
      <c r="N62">
        <v>0</v>
      </c>
      <c r="O62">
        <v>0</v>
      </c>
      <c r="P62">
        <f>E62-SUM(I62:N62)</f>
        <v>41.336000000000013</v>
      </c>
      <c r="Q62">
        <v>0</v>
      </c>
      <c r="R62">
        <v>5</v>
      </c>
    </row>
    <row r="63" spans="1:18" ht="17" thickBot="1">
      <c r="A63" s="1">
        <v>45334</v>
      </c>
      <c r="B63" t="s">
        <v>4</v>
      </c>
      <c r="C63" t="s">
        <v>20</v>
      </c>
      <c r="D63">
        <v>37</v>
      </c>
      <c r="E63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f>-D63</f>
        <v>-37</v>
      </c>
      <c r="M63">
        <v>0</v>
      </c>
      <c r="N63">
        <v>0</v>
      </c>
      <c r="O63">
        <v>0</v>
      </c>
      <c r="P63" s="2">
        <v>0</v>
      </c>
      <c r="Q63" s="2">
        <v>0</v>
      </c>
      <c r="R63" s="2">
        <v>5</v>
      </c>
    </row>
    <row r="64" spans="1:18" ht="17" thickBot="1">
      <c r="A64" s="3"/>
      <c r="B64" s="4"/>
      <c r="C64" s="4" t="s">
        <v>29</v>
      </c>
      <c r="D64" s="4">
        <f>SUM(D1:D63)</f>
        <v>-2495.7900000000009</v>
      </c>
      <c r="E64" s="4">
        <f>SUM(E1:E63)+Q64</f>
        <v>7369.3000000000011</v>
      </c>
      <c r="F64" s="4"/>
      <c r="G64" s="4"/>
      <c r="H64" s="4"/>
      <c r="I64" s="4">
        <f>SUM(I1:I63)</f>
        <v>1197.8355000000001</v>
      </c>
      <c r="J64" s="4">
        <f>SUM(J1:J63)</f>
        <v>530.16216666666696</v>
      </c>
      <c r="K64" s="4">
        <f>SUM(K1:K63)</f>
        <v>23.33550000000001</v>
      </c>
      <c r="L64" s="4">
        <f>SUM(L1:L63)</f>
        <v>265.91549999999995</v>
      </c>
      <c r="M64" s="4">
        <f>SUM(M1:M63)</f>
        <v>70.756666666666661</v>
      </c>
      <c r="N64" s="4">
        <f>SUM(N1:N63)</f>
        <v>499.26666666666659</v>
      </c>
      <c r="O64" s="4">
        <f>SUM(O1:O63)</f>
        <v>57.202000000000027</v>
      </c>
      <c r="P64" s="4">
        <f>SUM(P1:P63)</f>
        <v>42.456000000000017</v>
      </c>
      <c r="Q64" s="4">
        <f>-SUM(Q1:Q63)</f>
        <v>-190.84000000000003</v>
      </c>
      <c r="R64" s="5"/>
    </row>
    <row r="65" spans="3:16" ht="17" thickBot="1">
      <c r="C65" s="11" t="s">
        <v>99</v>
      </c>
      <c r="D65" s="12">
        <f>SUM(D62,D60,D57,D54,D51,D46,D45,D41,D40,D39,D36,D35,D34,D33,D30,D26,D24,D21,D20,D17,D13,D11,D9,D6,D2)</f>
        <v>-7369.02</v>
      </c>
    </row>
    <row r="66" spans="3:16" ht="17" thickBot="1">
      <c r="C66" s="13" t="s">
        <v>30</v>
      </c>
      <c r="D66" s="9">
        <f>D64+I64</f>
        <v>-1297.9545000000007</v>
      </c>
      <c r="G66" s="6" t="s">
        <v>33</v>
      </c>
      <c r="H66" s="7" t="s">
        <v>35</v>
      </c>
    </row>
    <row r="67" spans="3:16" ht="17" thickBot="1">
      <c r="C67" s="13" t="s">
        <v>98</v>
      </c>
      <c r="D67" s="9">
        <f>D66+E64</f>
        <v>6071.3455000000004</v>
      </c>
      <c r="G67" s="8" t="str">
        <f>I1</f>
        <v>Justine</v>
      </c>
      <c r="H67" s="9">
        <f>I64</f>
        <v>1197.8355000000001</v>
      </c>
      <c r="I67" s="21" t="s">
        <v>84</v>
      </c>
      <c r="J67" s="21" t="s">
        <v>53</v>
      </c>
      <c r="K67" s="22" t="s">
        <v>25</v>
      </c>
      <c r="L67" s="23" t="s">
        <v>24</v>
      </c>
      <c r="M67" s="23" t="s">
        <v>31</v>
      </c>
      <c r="N67" s="23" t="s">
        <v>32</v>
      </c>
      <c r="O67" s="33" t="s">
        <v>77</v>
      </c>
      <c r="P67" s="24" t="s">
        <v>26</v>
      </c>
    </row>
    <row r="68" spans="3:16" ht="17" thickBot="1">
      <c r="C68" s="14" t="s">
        <v>72</v>
      </c>
      <c r="D68" s="15">
        <f>Q64+L64</f>
        <v>75.07549999999992</v>
      </c>
      <c r="G68" s="8" t="str">
        <f>J1</f>
        <v>Vinay</v>
      </c>
      <c r="H68" s="35">
        <f>J64</f>
        <v>530.16216666666696</v>
      </c>
      <c r="I68" s="42">
        <v>2024</v>
      </c>
      <c r="J68" s="46" t="s">
        <v>40</v>
      </c>
      <c r="K68" s="58">
        <v>41.055999999999997</v>
      </c>
      <c r="L68" s="58">
        <v>41.055999999999997</v>
      </c>
      <c r="M68" s="58">
        <v>0</v>
      </c>
      <c r="N68" s="58">
        <v>0</v>
      </c>
      <c r="O68" s="58">
        <v>0</v>
      </c>
      <c r="P68" s="59">
        <v>41.055999999999997</v>
      </c>
    </row>
    <row r="69" spans="3:16">
      <c r="G69" s="8" t="str">
        <f>K1</f>
        <v>Zubin</v>
      </c>
      <c r="H69" s="35">
        <f>K64</f>
        <v>23.33550000000001</v>
      </c>
      <c r="I69" s="43">
        <v>2024</v>
      </c>
      <c r="J69" s="19" t="s">
        <v>41</v>
      </c>
      <c r="K69" s="58">
        <v>37.92</v>
      </c>
      <c r="L69" s="58">
        <v>37.92</v>
      </c>
      <c r="M69" s="58">
        <v>0</v>
      </c>
      <c r="N69" s="58">
        <v>0</v>
      </c>
      <c r="O69" s="58">
        <v>0</v>
      </c>
      <c r="P69" s="59">
        <v>37.92</v>
      </c>
    </row>
    <row r="70" spans="3:16">
      <c r="G70" s="8" t="str">
        <f>L1</f>
        <v>Rose</v>
      </c>
      <c r="H70" s="35">
        <f>L64+Q64</f>
        <v>75.07549999999992</v>
      </c>
      <c r="I70" s="43">
        <v>2024</v>
      </c>
      <c r="J70" s="19" t="s">
        <v>42</v>
      </c>
      <c r="K70" s="58">
        <v>40</v>
      </c>
      <c r="L70" s="58">
        <v>40</v>
      </c>
      <c r="M70" s="58">
        <v>0</v>
      </c>
      <c r="N70" s="58">
        <v>0</v>
      </c>
      <c r="O70" s="58">
        <v>0</v>
      </c>
      <c r="P70" s="59">
        <v>40</v>
      </c>
    </row>
    <row r="71" spans="3:16">
      <c r="G71" s="8" t="str">
        <f>M1</f>
        <v>Roshan</v>
      </c>
      <c r="H71" s="35">
        <f>M64</f>
        <v>70.756666666666661</v>
      </c>
      <c r="I71" s="43">
        <v>2024</v>
      </c>
      <c r="J71" s="19" t="s">
        <v>43</v>
      </c>
      <c r="K71" s="58">
        <v>53.46</v>
      </c>
      <c r="L71" s="58">
        <v>40</v>
      </c>
      <c r="M71" s="58">
        <v>0</v>
      </c>
      <c r="N71" s="58">
        <v>0</v>
      </c>
      <c r="O71" s="58">
        <v>0</v>
      </c>
      <c r="P71" s="59">
        <v>40</v>
      </c>
    </row>
    <row r="72" spans="3:16">
      <c r="G72" s="8" t="s">
        <v>77</v>
      </c>
      <c r="H72" s="35">
        <f>O64</f>
        <v>57.202000000000027</v>
      </c>
      <c r="I72" s="43">
        <v>2024</v>
      </c>
      <c r="J72" s="19" t="s">
        <v>44</v>
      </c>
      <c r="K72" s="58">
        <v>46.73</v>
      </c>
      <c r="L72" s="58">
        <v>40</v>
      </c>
      <c r="M72" s="58">
        <v>0</v>
      </c>
      <c r="N72" s="58">
        <v>0</v>
      </c>
      <c r="O72" s="58">
        <v>0</v>
      </c>
      <c r="P72" s="59">
        <v>40</v>
      </c>
    </row>
    <row r="73" spans="3:16">
      <c r="G73" s="8" t="str">
        <f>N1</f>
        <v>Prachi</v>
      </c>
      <c r="H73" s="35">
        <f>N64</f>
        <v>499.26666666666659</v>
      </c>
      <c r="I73" s="43">
        <v>2024</v>
      </c>
      <c r="J73" s="19" t="s">
        <v>45</v>
      </c>
      <c r="K73" s="58">
        <v>29.58</v>
      </c>
      <c r="L73" s="58">
        <v>520.6</v>
      </c>
      <c r="M73" s="58">
        <v>79.58</v>
      </c>
      <c r="N73" s="54">
        <v>42.08</v>
      </c>
      <c r="O73" s="58">
        <v>0</v>
      </c>
      <c r="P73" s="59">
        <v>29.58</v>
      </c>
    </row>
    <row r="74" spans="3:16" ht="17" thickBot="1">
      <c r="G74" s="18" t="str">
        <f>P1</f>
        <v>Others</v>
      </c>
      <c r="H74" s="35">
        <f>P64</f>
        <v>42.456000000000017</v>
      </c>
      <c r="I74" s="43">
        <v>2024</v>
      </c>
      <c r="J74" s="19" t="s">
        <v>46</v>
      </c>
      <c r="K74" s="58">
        <v>30</v>
      </c>
      <c r="L74" s="58">
        <v>30</v>
      </c>
      <c r="M74" s="58">
        <v>80</v>
      </c>
      <c r="N74" s="54">
        <v>42.5</v>
      </c>
      <c r="O74" s="58">
        <v>0</v>
      </c>
      <c r="P74" s="59">
        <v>30</v>
      </c>
    </row>
    <row r="75" spans="3:16" ht="17" thickBot="1">
      <c r="G75" s="6" t="s">
        <v>36</v>
      </c>
      <c r="H75" s="17">
        <f>SUM(H67:H74)</f>
        <v>2496.09</v>
      </c>
      <c r="I75" s="43">
        <v>2024</v>
      </c>
      <c r="J75" s="19" t="s">
        <v>47</v>
      </c>
      <c r="K75" s="58">
        <v>30</v>
      </c>
      <c r="L75" s="58">
        <v>30</v>
      </c>
      <c r="M75" s="58">
        <v>115.34</v>
      </c>
      <c r="N75" s="54">
        <v>51.09</v>
      </c>
      <c r="O75" s="58">
        <v>0</v>
      </c>
      <c r="P75" s="59">
        <v>30</v>
      </c>
    </row>
    <row r="76" spans="3:16" ht="17" thickBot="1">
      <c r="G76" s="10" t="s">
        <v>37</v>
      </c>
      <c r="H76" s="41">
        <f>H75-H67</f>
        <v>1298.2545</v>
      </c>
      <c r="I76" s="43">
        <v>2024</v>
      </c>
      <c r="J76" s="19" t="s">
        <v>48</v>
      </c>
      <c r="K76" s="58">
        <v>30</v>
      </c>
      <c r="L76" s="58">
        <v>30</v>
      </c>
      <c r="M76" s="58">
        <v>80</v>
      </c>
      <c r="N76" s="54">
        <v>52.64</v>
      </c>
      <c r="O76" s="58">
        <v>0</v>
      </c>
      <c r="P76" s="59">
        <v>30</v>
      </c>
    </row>
    <row r="77" spans="3:16">
      <c r="G77" s="8" t="s">
        <v>100</v>
      </c>
      <c r="I77" s="43">
        <v>2024</v>
      </c>
      <c r="J77" s="19" t="s">
        <v>49</v>
      </c>
      <c r="K77" s="58">
        <v>30</v>
      </c>
      <c r="L77" s="58">
        <v>30</v>
      </c>
      <c r="M77" s="58">
        <v>80</v>
      </c>
      <c r="N77" s="54">
        <v>42.5</v>
      </c>
      <c r="O77" s="58">
        <v>0</v>
      </c>
      <c r="P77" s="59">
        <v>63.34</v>
      </c>
    </row>
    <row r="78" spans="3:16">
      <c r="I78" s="43">
        <v>2024</v>
      </c>
      <c r="J78" s="19" t="s">
        <v>73</v>
      </c>
      <c r="K78" s="58">
        <v>30</v>
      </c>
      <c r="L78" s="54">
        <v>30</v>
      </c>
      <c r="M78" s="58">
        <v>80</v>
      </c>
      <c r="N78" s="54">
        <f>30+5.41+12.5</f>
        <v>47.91</v>
      </c>
      <c r="O78" s="58">
        <v>0</v>
      </c>
      <c r="P78" s="59">
        <f>30+12.5+39.38</f>
        <v>81.88</v>
      </c>
    </row>
    <row r="79" spans="3:16">
      <c r="I79" s="43">
        <v>2024</v>
      </c>
      <c r="J79" s="19" t="s">
        <v>74</v>
      </c>
      <c r="K79" s="58">
        <v>30</v>
      </c>
      <c r="L79" s="54">
        <v>31.09</v>
      </c>
      <c r="M79" s="58">
        <v>86.59</v>
      </c>
      <c r="N79" s="54">
        <v>64.59</v>
      </c>
      <c r="O79" s="58">
        <v>0</v>
      </c>
      <c r="P79" s="59">
        <v>69.38</v>
      </c>
    </row>
    <row r="80" spans="3:16">
      <c r="I80" s="43">
        <v>2025</v>
      </c>
      <c r="J80" s="20" t="s">
        <v>40</v>
      </c>
      <c r="K80" s="58">
        <v>30.66</v>
      </c>
      <c r="L80" s="54">
        <v>30.66</v>
      </c>
      <c r="M80" s="58">
        <v>80.66</v>
      </c>
      <c r="N80" s="54">
        <v>43.44</v>
      </c>
      <c r="O80" s="58">
        <v>0</v>
      </c>
      <c r="P80" s="59">
        <v>70.040000000000006</v>
      </c>
    </row>
    <row r="81" spans="9:16">
      <c r="I81" s="43">
        <v>2025</v>
      </c>
      <c r="J81" s="20" t="s">
        <v>41</v>
      </c>
      <c r="K81" s="58">
        <v>40</v>
      </c>
      <c r="L81" s="54">
        <v>40</v>
      </c>
      <c r="M81" s="58">
        <v>50</v>
      </c>
      <c r="N81" s="54">
        <v>12.5</v>
      </c>
      <c r="O81" s="58">
        <v>0</v>
      </c>
      <c r="P81" s="59">
        <v>79.38</v>
      </c>
    </row>
    <row r="82" spans="9:16">
      <c r="I82" s="43">
        <v>2025</v>
      </c>
      <c r="J82" s="20" t="s">
        <v>42</v>
      </c>
      <c r="K82" s="58">
        <v>38.83</v>
      </c>
      <c r="L82" s="54">
        <v>38.83</v>
      </c>
      <c r="M82" s="58">
        <v>50</v>
      </c>
      <c r="N82" s="54">
        <v>12.5</v>
      </c>
      <c r="O82" s="58">
        <v>80.5</v>
      </c>
      <c r="P82" s="59">
        <v>78.212000000000003</v>
      </c>
    </row>
    <row r="83" spans="9:16">
      <c r="I83" s="43">
        <v>2025</v>
      </c>
      <c r="J83" s="20" t="s">
        <v>43</v>
      </c>
      <c r="K83" s="58">
        <v>36</v>
      </c>
      <c r="L83" s="54">
        <v>36</v>
      </c>
      <c r="M83" s="58">
        <v>50</v>
      </c>
      <c r="N83" s="54">
        <v>12.5</v>
      </c>
      <c r="O83" s="58">
        <v>77.67</v>
      </c>
      <c r="P83" s="59">
        <v>77.19</v>
      </c>
    </row>
    <row r="84" spans="9:16">
      <c r="I84" s="43">
        <v>2025</v>
      </c>
      <c r="J84" s="20" t="s">
        <v>44</v>
      </c>
      <c r="K84" s="58">
        <v>36</v>
      </c>
      <c r="L84" s="54">
        <v>36</v>
      </c>
      <c r="M84" s="58">
        <v>50</v>
      </c>
      <c r="N84" s="54">
        <v>12.5</v>
      </c>
      <c r="O84" s="58">
        <v>77.67</v>
      </c>
      <c r="P84" s="59">
        <v>75.38</v>
      </c>
    </row>
    <row r="85" spans="9:16">
      <c r="I85" s="52">
        <v>2025</v>
      </c>
      <c r="J85" s="20" t="s">
        <v>45</v>
      </c>
      <c r="K85" s="58">
        <v>36</v>
      </c>
      <c r="L85" s="54">
        <v>36</v>
      </c>
      <c r="M85" s="58">
        <v>50</v>
      </c>
      <c r="N85" s="54">
        <v>12.5</v>
      </c>
      <c r="O85" s="58">
        <v>77.67</v>
      </c>
      <c r="P85" s="59">
        <v>75.38</v>
      </c>
    </row>
    <row r="86" spans="9:16">
      <c r="I86" s="52">
        <v>2025</v>
      </c>
      <c r="J86" s="20" t="s">
        <v>46</v>
      </c>
      <c r="K86" s="58">
        <v>36</v>
      </c>
      <c r="L86" s="54">
        <v>36</v>
      </c>
      <c r="M86" s="58">
        <v>50</v>
      </c>
      <c r="N86" s="54">
        <v>12.5</v>
      </c>
      <c r="O86" s="58">
        <v>77.67</v>
      </c>
      <c r="P86" s="59">
        <v>75.38</v>
      </c>
    </row>
    <row r="87" spans="9:16">
      <c r="I87" s="52">
        <v>2025</v>
      </c>
      <c r="J87" s="20" t="s">
        <v>47</v>
      </c>
      <c r="K87" s="58">
        <v>36</v>
      </c>
      <c r="L87" s="54">
        <v>36</v>
      </c>
      <c r="M87" s="58">
        <v>50</v>
      </c>
      <c r="N87" s="54">
        <v>12.5</v>
      </c>
      <c r="O87" s="58">
        <v>77.67</v>
      </c>
      <c r="P87" s="59">
        <v>75.38</v>
      </c>
    </row>
    <row r="88" spans="9:16">
      <c r="I88" s="53">
        <v>2025</v>
      </c>
      <c r="J88" s="20" t="s">
        <v>48</v>
      </c>
      <c r="K88" s="58">
        <v>36</v>
      </c>
      <c r="L88" s="54">
        <v>36</v>
      </c>
      <c r="M88" s="54">
        <v>50</v>
      </c>
      <c r="N88" s="54">
        <v>12.5</v>
      </c>
      <c r="O88" s="58">
        <v>77.67</v>
      </c>
      <c r="P88" s="59">
        <v>75.38</v>
      </c>
    </row>
    <row r="89" spans="9:16">
      <c r="I89" s="53">
        <v>2025</v>
      </c>
      <c r="J89" s="20" t="s">
        <v>49</v>
      </c>
      <c r="K89" s="58">
        <v>36</v>
      </c>
      <c r="L89" s="54">
        <v>36</v>
      </c>
      <c r="M89" s="54">
        <v>50</v>
      </c>
      <c r="N89" s="54">
        <v>12.5</v>
      </c>
      <c r="O89" s="58">
        <v>77.67</v>
      </c>
      <c r="P89" s="59">
        <v>75.38</v>
      </c>
    </row>
    <row r="90" spans="9:16">
      <c r="I90" s="52">
        <v>2025</v>
      </c>
      <c r="J90" s="20" t="s">
        <v>73</v>
      </c>
      <c r="K90" s="58">
        <v>36</v>
      </c>
      <c r="L90" s="54">
        <v>36</v>
      </c>
      <c r="M90" s="58">
        <v>0</v>
      </c>
      <c r="N90" s="58">
        <v>0</v>
      </c>
      <c r="O90" s="58">
        <v>77.67</v>
      </c>
      <c r="P90" s="59">
        <v>75.38</v>
      </c>
    </row>
    <row r="91" spans="9:16" ht="17" thickBot="1">
      <c r="I91" s="44">
        <v>2025</v>
      </c>
      <c r="J91" s="20" t="s">
        <v>74</v>
      </c>
      <c r="K91" s="58">
        <v>36</v>
      </c>
      <c r="L91" s="54">
        <v>36</v>
      </c>
      <c r="M91" s="58">
        <v>0</v>
      </c>
      <c r="N91" s="58">
        <v>0</v>
      </c>
      <c r="O91" s="58">
        <v>77.67</v>
      </c>
      <c r="P91" s="59">
        <v>75.38</v>
      </c>
    </row>
    <row r="92" spans="9:16" ht="17" thickBot="1">
      <c r="I92" s="44">
        <v>2026</v>
      </c>
      <c r="J92" s="60" t="s">
        <v>40</v>
      </c>
      <c r="K92" s="61">
        <v>81.84</v>
      </c>
      <c r="L92" s="61">
        <v>36</v>
      </c>
      <c r="M92" s="67">
        <v>0</v>
      </c>
      <c r="N92" s="67">
        <v>0</v>
      </c>
      <c r="O92" s="61">
        <v>77.67</v>
      </c>
      <c r="P92" s="62">
        <v>75.38</v>
      </c>
    </row>
    <row r="93" spans="9:16">
      <c r="J93" s="55" t="s">
        <v>50</v>
      </c>
      <c r="K93" s="56">
        <f>SUM(K68:K92)</f>
        <v>944.07600000000002</v>
      </c>
      <c r="L93" s="45">
        <f>SUM(L68:L92)</f>
        <v>1370.1559999999999</v>
      </c>
      <c r="M93" s="45">
        <f>SUM(M68:M91)</f>
        <v>1132.17</v>
      </c>
      <c r="N93" s="45">
        <f>SUM(N68:N91)</f>
        <v>499.25000000000006</v>
      </c>
      <c r="O93" s="57">
        <f>SUM(O68:O92)</f>
        <v>857.19999999999993</v>
      </c>
      <c r="P93" s="45">
        <f>SUM(P68:P92)</f>
        <v>1516.3980000000006</v>
      </c>
    </row>
    <row r="94" spans="9:16" ht="17" thickBot="1">
      <c r="J94" s="18" t="s">
        <v>51</v>
      </c>
      <c r="K94" s="32">
        <f>SUM(K44,K50,K58,K32,K29,K14,K5)</f>
        <v>-920.75</v>
      </c>
      <c r="L94" s="25">
        <f>SUM(J43,J47,J53,J55,J61,J37)</f>
        <v>-840</v>
      </c>
      <c r="M94" s="25">
        <f>SUM(M38,M49,M15,M3)</f>
        <v>-1061.43</v>
      </c>
      <c r="N94" s="25">
        <v>0</v>
      </c>
      <c r="O94" s="34">
        <f>SUM(O22,O23,O25,O27,O18,O16,O12,O10,O8,O4)</f>
        <v>-800</v>
      </c>
      <c r="P94" s="26">
        <f>SUM(L42,L48,L52,L59,L63,Q64,L56,L31,L28,L19,L7)</f>
        <v>-1441.89</v>
      </c>
    </row>
    <row r="95" spans="9:16" ht="17" thickBot="1">
      <c r="I95" s="35" t="s">
        <v>93</v>
      </c>
      <c r="J95" s="21" t="s">
        <v>52</v>
      </c>
      <c r="K95" s="27">
        <f>SUM(K93:K94)</f>
        <v>23.326000000000022</v>
      </c>
      <c r="L95" s="23">
        <f t="shared" ref="L95:P95" si="18">SUM(L93:L94)</f>
        <v>530.15599999999995</v>
      </c>
      <c r="M95" s="23">
        <f t="shared" si="18"/>
        <v>70.740000000000009</v>
      </c>
      <c r="N95" s="23">
        <f t="shared" si="18"/>
        <v>499.25000000000006</v>
      </c>
      <c r="O95" s="33">
        <f t="shared" si="18"/>
        <v>57.199999999999932</v>
      </c>
      <c r="P95" s="24">
        <f t="shared" si="18"/>
        <v>74.508000000000493</v>
      </c>
    </row>
  </sheetData>
  <autoFilter ref="A1:D66" xr:uid="{59A1C8FC-3E65-C441-BF72-2B4BA1E66740}"/>
  <pageMargins left="0.7" right="0.7" top="0.75" bottom="0.75" header="0.3" footer="0.3"/>
  <ignoredErrors>
    <ignoredError sqref="E54" formulaRange="1"/>
    <ignoredError sqref="M34:N34 J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E05A-1F0B-B04D-A0E2-FEE598D2B46D}">
  <dimension ref="A1:C30"/>
  <sheetViews>
    <sheetView workbookViewId="0">
      <selection activeCell="C2" sqref="C2:C3"/>
    </sheetView>
  </sheetViews>
  <sheetFormatPr baseColWidth="10" defaultRowHeight="16"/>
  <cols>
    <col min="2" max="2" width="57.1640625" bestFit="1" customWidth="1"/>
    <col min="6" max="6" width="59.1640625" bestFit="1" customWidth="1"/>
  </cols>
  <sheetData>
    <row r="1" spans="1:3">
      <c r="A1" s="28" t="s">
        <v>0</v>
      </c>
      <c r="B1" s="28" t="s">
        <v>2</v>
      </c>
      <c r="C1" s="28" t="s">
        <v>3</v>
      </c>
    </row>
    <row r="2" spans="1:3">
      <c r="A2" s="29">
        <v>45636</v>
      </c>
      <c r="B2" s="30" t="s">
        <v>71</v>
      </c>
      <c r="C2" s="30">
        <v>-317.75</v>
      </c>
    </row>
    <row r="3" spans="1:3">
      <c r="A3" s="29">
        <v>45628</v>
      </c>
      <c r="B3" s="30" t="s">
        <v>54</v>
      </c>
      <c r="C3" s="30">
        <v>96</v>
      </c>
    </row>
    <row r="4" spans="1:3">
      <c r="A4" s="29">
        <v>45623</v>
      </c>
      <c r="B4" s="30" t="s">
        <v>55</v>
      </c>
      <c r="C4" s="30">
        <v>320.43</v>
      </c>
    </row>
    <row r="5" spans="1:3">
      <c r="A5" s="29">
        <v>45608</v>
      </c>
      <c r="B5" s="30" t="s">
        <v>71</v>
      </c>
      <c r="C5" s="30">
        <v>-108.5</v>
      </c>
    </row>
    <row r="6" spans="1:3">
      <c r="A6" s="29">
        <v>45575</v>
      </c>
      <c r="B6" s="30" t="s">
        <v>71</v>
      </c>
      <c r="C6" s="30">
        <v>-252.64</v>
      </c>
    </row>
    <row r="7" spans="1:3">
      <c r="A7" s="29">
        <v>45545</v>
      </c>
      <c r="B7" s="30" t="s">
        <v>71</v>
      </c>
      <c r="C7" s="30">
        <v>-286.43</v>
      </c>
    </row>
    <row r="8" spans="1:3">
      <c r="A8" s="29">
        <v>45527</v>
      </c>
      <c r="B8" s="30" t="s">
        <v>56</v>
      </c>
      <c r="C8" s="30">
        <v>30</v>
      </c>
    </row>
    <row r="9" spans="1:3">
      <c r="A9" s="29">
        <v>45519</v>
      </c>
      <c r="B9" s="30" t="s">
        <v>57</v>
      </c>
      <c r="C9" s="30">
        <v>30</v>
      </c>
    </row>
    <row r="10" spans="1:3">
      <c r="A10" s="29">
        <v>45519</v>
      </c>
      <c r="B10" s="30" t="s">
        <v>58</v>
      </c>
      <c r="C10" s="30">
        <v>30</v>
      </c>
    </row>
    <row r="11" spans="1:3">
      <c r="A11" s="29">
        <v>45516</v>
      </c>
      <c r="B11" s="30" t="s">
        <v>71</v>
      </c>
      <c r="C11" s="30">
        <v>-242.5</v>
      </c>
    </row>
    <row r="12" spans="1:3">
      <c r="A12" s="29">
        <v>45483</v>
      </c>
      <c r="B12" s="30" t="s">
        <v>71</v>
      </c>
      <c r="C12" s="30">
        <v>-731.01</v>
      </c>
    </row>
    <row r="13" spans="1:3">
      <c r="A13" s="29">
        <v>45478</v>
      </c>
      <c r="B13" s="30" t="s">
        <v>59</v>
      </c>
      <c r="C13" s="30">
        <v>520</v>
      </c>
    </row>
    <row r="14" spans="1:3">
      <c r="A14" s="29">
        <v>45467</v>
      </c>
      <c r="B14" s="30" t="s">
        <v>60</v>
      </c>
      <c r="C14" s="30">
        <v>29.5</v>
      </c>
    </row>
    <row r="15" spans="1:3">
      <c r="A15" s="29">
        <v>45467</v>
      </c>
      <c r="B15" s="30" t="s">
        <v>61</v>
      </c>
      <c r="C15" s="30">
        <v>90</v>
      </c>
    </row>
    <row r="16" spans="1:3">
      <c r="A16" s="29">
        <v>45467</v>
      </c>
      <c r="B16" s="30" t="s">
        <v>62</v>
      </c>
      <c r="C16" s="30">
        <v>130</v>
      </c>
    </row>
    <row r="17" spans="1:3">
      <c r="A17" s="29">
        <v>45453</v>
      </c>
      <c r="B17" s="30" t="s">
        <v>71</v>
      </c>
      <c r="C17" s="30">
        <v>-166.73</v>
      </c>
    </row>
    <row r="18" spans="1:3">
      <c r="A18" s="29">
        <v>45448</v>
      </c>
      <c r="B18" s="30" t="s">
        <v>63</v>
      </c>
      <c r="C18" s="30">
        <v>80</v>
      </c>
    </row>
    <row r="19" spans="1:3">
      <c r="A19" s="29">
        <v>45440</v>
      </c>
      <c r="B19" s="30" t="s">
        <v>64</v>
      </c>
      <c r="C19" s="30">
        <v>117</v>
      </c>
    </row>
    <row r="20" spans="1:3">
      <c r="A20" s="29">
        <v>45422</v>
      </c>
      <c r="B20" s="30" t="s">
        <v>71</v>
      </c>
      <c r="C20" s="30">
        <v>-173.46</v>
      </c>
    </row>
    <row r="21" spans="1:3">
      <c r="A21" s="29">
        <v>45404</v>
      </c>
      <c r="B21" s="30" t="s">
        <v>65</v>
      </c>
      <c r="C21" s="30">
        <v>40</v>
      </c>
    </row>
    <row r="22" spans="1:3">
      <c r="A22" s="29">
        <v>45404</v>
      </c>
      <c r="B22" s="30" t="s">
        <v>66</v>
      </c>
      <c r="C22" s="30">
        <v>40</v>
      </c>
    </row>
    <row r="23" spans="1:3">
      <c r="A23" s="29">
        <v>45392</v>
      </c>
      <c r="B23" s="30" t="s">
        <v>71</v>
      </c>
      <c r="C23" s="30">
        <v>-160</v>
      </c>
    </row>
    <row r="24" spans="1:3">
      <c r="A24" s="29">
        <v>45378</v>
      </c>
      <c r="B24" s="30" t="s">
        <v>67</v>
      </c>
      <c r="C24" s="30">
        <v>70</v>
      </c>
    </row>
    <row r="25" spans="1:3">
      <c r="A25" s="29">
        <v>45366</v>
      </c>
      <c r="B25" s="30" t="s">
        <v>68</v>
      </c>
      <c r="C25" s="30">
        <v>38</v>
      </c>
    </row>
    <row r="26" spans="1:3">
      <c r="A26" s="29">
        <v>45362</v>
      </c>
      <c r="B26" s="30" t="s">
        <v>71</v>
      </c>
      <c r="C26" s="30">
        <v>-152.79</v>
      </c>
    </row>
    <row r="27" spans="1:3">
      <c r="A27" s="29">
        <v>45343</v>
      </c>
      <c r="B27" s="30" t="s">
        <v>69</v>
      </c>
      <c r="C27" s="30">
        <v>37</v>
      </c>
    </row>
    <row r="28" spans="1:3">
      <c r="A28" s="29">
        <v>45334</v>
      </c>
      <c r="B28" s="30" t="s">
        <v>71</v>
      </c>
      <c r="C28" s="30">
        <v>-205.28</v>
      </c>
    </row>
    <row r="29" spans="1:3">
      <c r="A29" s="29">
        <v>45334</v>
      </c>
      <c r="B29" s="30" t="s">
        <v>70</v>
      </c>
      <c r="C29" s="30">
        <v>37</v>
      </c>
    </row>
    <row r="30" spans="1:3">
      <c r="C30">
        <f>SUM(C2:C29)</f>
        <v>-1062.1600000000001</v>
      </c>
    </row>
  </sheetData>
  <autoFilter ref="A1:C1" xr:uid="{2DFBE05A-1F0B-B04D-A0E2-FEE598D2B46D}">
    <sortState xmlns:xlrd2="http://schemas.microsoft.com/office/spreadsheetml/2017/richdata2" ref="A2:C30">
      <sortCondition descending="1" ref="A1:A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Ayroor</dc:creator>
  <cp:lastModifiedBy>Justine Ayroor</cp:lastModifiedBy>
  <dcterms:created xsi:type="dcterms:W3CDTF">2024-11-22T23:11:02Z</dcterms:created>
  <dcterms:modified xsi:type="dcterms:W3CDTF">2026-02-12T23:40:11Z</dcterms:modified>
</cp:coreProperties>
</file>